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4"/>
    <sheet state="visible" name="선별근거" sheetId="2" r:id="rId5"/>
    <sheet state="visible" name="낭독규칙표" sheetId="3" r:id="rId6"/>
  </sheets>
  <definedNames>
    <definedName hidden="1" localSheetId="1" name="_xlnm._FilterDatabase">'선별근거'!$A$1:$Q$51</definedName>
    <definedName hidden="1" localSheetId="2" name="_xlnm._FilterDatabase">'낭독규칙표'!$A$1:$G$33</definedName>
  </definedNames>
  <calcPr/>
  <extLst>
    <ext uri="GoogleSheetsCustomDataVersion2">
      <go:sheetsCustomData xmlns:go="http://customooxmlschemas.google.com/" r:id="rId7" roundtripDataChecksum="Uy1aBeCFey3qHWiDc6xlX9AB8H34tJmsrKyv2pJktss="/>
    </ext>
  </extLst>
</workbook>
</file>

<file path=xl/sharedStrings.xml><?xml version="1.0" encoding="utf-8"?>
<sst xmlns="http://schemas.openxmlformats.org/spreadsheetml/2006/main" count="623" uniqueCount="458">
  <si>
    <t>번호</t>
  </si>
  <si>
    <t>index</t>
  </si>
  <si>
    <r>
      <rPr>
        <rFont val="Arial"/>
        <b/>
        <color rgb="FF000000"/>
        <sz val="14.0"/>
      </rPr>
      <t xml:space="preserve">STT </t>
    </r>
    <r>
      <rPr>
        <rFont val="Noto Sans CJK SC"/>
        <b/>
        <color rgb="FF000000"/>
        <sz val="14.0"/>
      </rPr>
      <t xml:space="preserve">검증셋 </t>
    </r>
    <r>
      <rPr>
        <rFont val="Arial"/>
        <b/>
        <color rgb="FF000000"/>
        <sz val="14.0"/>
      </rPr>
      <t>50</t>
    </r>
    <r>
      <rPr>
        <rFont val="Noto Sans CJK SC"/>
        <b/>
        <color rgb="FF000000"/>
        <sz val="14.0"/>
      </rPr>
      <t xml:space="preserve">건 — 선별 근거 </t>
    </r>
    <r>
      <rPr>
        <rFont val="Arial"/>
        <b/>
        <color rgb="FF000000"/>
        <sz val="14.0"/>
      </rPr>
      <t xml:space="preserve">· </t>
    </r>
    <r>
      <rPr>
        <rFont val="Noto Sans CJK SC"/>
        <b/>
        <color rgb="FF000000"/>
        <sz val="14.0"/>
      </rPr>
      <t>낭독 규칙</t>
    </r>
  </si>
  <si>
    <t>구분</t>
  </si>
  <si>
    <t>원문 표기</t>
  </si>
  <si>
    <r>
      <rPr>
        <rFont val="Noto Sans"/>
        <b/>
        <color rgb="FFFFFFFF"/>
        <sz val="10.0"/>
      </rPr>
      <t>낭독 방법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통일</t>
    </r>
    <r>
      <rPr>
        <rFont val="Arial"/>
        <b/>
        <color rgb="FFFFFFFF"/>
        <sz val="10.0"/>
      </rPr>
      <t>)</t>
    </r>
  </si>
  <si>
    <r>
      <rPr>
        <rFont val="Noto Sans"/>
        <b/>
        <color rgb="FFFFFFFF"/>
        <sz val="10.0"/>
      </rPr>
      <t xml:space="preserve">예시 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원문 → 낭독본</t>
    </r>
    <r>
      <rPr>
        <rFont val="Arial"/>
        <b/>
        <color rgb="FFFFFFFF"/>
        <sz val="10.0"/>
      </rPr>
      <t>)</t>
    </r>
  </si>
  <si>
    <r>
      <rPr>
        <rFont val="Arial"/>
        <b/>
        <color rgb="FFFFFFFF"/>
        <sz val="10.0"/>
      </rPr>
      <t>50</t>
    </r>
    <r>
      <rPr>
        <rFont val="Noto Sans CJK SC"/>
        <b/>
        <color rgb="FFFFFFFF"/>
        <sz val="10.0"/>
      </rPr>
      <t>건 내 등장 횟수</t>
    </r>
  </si>
  <si>
    <r>
      <rPr>
        <rFont val="Noto Sans"/>
        <color rgb="FF595959"/>
        <sz val="10.0"/>
      </rPr>
      <t xml:space="preserve">문진 대화 </t>
    </r>
    <r>
      <rPr>
        <rFont val="Arial"/>
        <color rgb="FF595959"/>
        <sz val="10.0"/>
      </rPr>
      <t>727</t>
    </r>
    <r>
      <rPr>
        <rFont val="Noto Sans CJK SC"/>
        <color rgb="FF595959"/>
        <sz val="10.0"/>
      </rPr>
      <t xml:space="preserve">건 중 </t>
    </r>
    <r>
      <rPr>
        <rFont val="Arial"/>
        <color rgb="FF595959"/>
        <sz val="10.0"/>
      </rPr>
      <t xml:space="preserve">KTAS </t>
    </r>
    <r>
      <rPr>
        <rFont val="Noto Sans CJK SC"/>
        <color rgb="FF595959"/>
        <sz val="10.0"/>
      </rPr>
      <t xml:space="preserve">레벨별 </t>
    </r>
    <r>
      <rPr>
        <rFont val="Arial"/>
        <color rgb="FF595959"/>
        <sz val="10.0"/>
      </rPr>
      <t>10</t>
    </r>
    <r>
      <rPr>
        <rFont val="Noto Sans CJK SC"/>
        <color rgb="FF595959"/>
        <sz val="10.0"/>
      </rPr>
      <t>건씩 선별해 직접 낭독</t>
    </r>
    <r>
      <rPr>
        <rFont val="Arial"/>
        <color rgb="FF595959"/>
        <sz val="10.0"/>
      </rPr>
      <t>·</t>
    </r>
    <r>
      <rPr>
        <rFont val="Noto Sans CJK SC"/>
        <color rgb="FF595959"/>
        <sz val="10.0"/>
      </rPr>
      <t xml:space="preserve">녹음한 </t>
    </r>
    <r>
      <rPr>
        <rFont val="Arial"/>
        <color rgb="FF595959"/>
        <sz val="10.0"/>
      </rPr>
      <t xml:space="preserve">STT </t>
    </r>
    <r>
      <rPr>
        <rFont val="Noto Sans CJK SC"/>
        <color rgb="FF595959"/>
        <sz val="10.0"/>
      </rPr>
      <t>전사 정확도 검증셋의 요약입니다</t>
    </r>
    <r>
      <rPr>
        <rFont val="Arial"/>
        <color rgb="FF595959"/>
        <sz val="10.0"/>
      </rPr>
      <t>.</t>
    </r>
  </si>
  <si>
    <t>음성 파일</t>
  </si>
  <si>
    <t>비고</t>
  </si>
  <si>
    <t>시트 구성</t>
  </si>
  <si>
    <r>
      <rPr>
        <rFont val="Arial"/>
        <b/>
        <color rgb="FFFFFFFF"/>
        <sz val="10.0"/>
      </rPr>
      <t xml:space="preserve">KTAS </t>
    </r>
    <r>
      <rPr>
        <rFont val="Noto Sans CJK SC"/>
        <b/>
        <color rgb="FFFFFFFF"/>
        <sz val="10.0"/>
      </rPr>
      <t>레벨</t>
    </r>
  </si>
  <si>
    <t>대분류</t>
  </si>
  <si>
    <t>선별근거</t>
  </si>
  <si>
    <t>중분류</t>
  </si>
  <si>
    <t>나이</t>
  </si>
  <si>
    <t>공통</t>
  </si>
  <si>
    <t>응답 화자</t>
  </si>
  <si>
    <t>턴 수</t>
  </si>
  <si>
    <t>발화 수</t>
  </si>
  <si>
    <r>
      <rPr>
        <rFont val="Noto Sans"/>
        <b/>
        <color rgb="FFFFFFFF"/>
        <sz val="10.0"/>
      </rPr>
      <t xml:space="preserve">낭독본 글자 수
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공백 제외</t>
    </r>
    <r>
      <rPr>
        <rFont val="Arial"/>
        <b/>
        <color rgb="FFFFFFFF"/>
        <sz val="10.0"/>
      </rPr>
      <t>)</t>
    </r>
  </si>
  <si>
    <r>
      <rPr>
        <rFont val="Arial"/>
        <color rgb="FF000000"/>
        <sz val="10.0"/>
      </rPr>
      <t xml:space="preserve">[T01] </t>
    </r>
    <r>
      <rPr>
        <rFont val="Noto Sans CJK SC"/>
        <color rgb="FF000000"/>
        <sz val="10.0"/>
      </rPr>
      <t>의료진</t>
    </r>
    <r>
      <rPr>
        <rFont val="Arial"/>
        <color rgb="FF000000"/>
        <sz val="10.0"/>
      </rPr>
      <t xml:space="preserve">: </t>
    </r>
    <r>
      <rPr>
        <rFont val="Noto Sans CJK SC"/>
        <color rgb="FF000000"/>
        <sz val="10.0"/>
      </rPr>
      <t>등 화자 태그</t>
    </r>
  </si>
  <si>
    <r>
      <rPr>
        <rFont val="Noto Sans"/>
        <b/>
        <color rgb="FFFFFFFF"/>
        <sz val="10.0"/>
      </rPr>
      <t>녹음 길이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초</t>
    </r>
    <r>
      <rPr>
        <rFont val="Arial"/>
        <b/>
        <color rgb="FFFFFFFF"/>
        <sz val="10.0"/>
      </rPr>
      <t>)</t>
    </r>
  </si>
  <si>
    <r>
      <rPr>
        <rFont val="Arial"/>
        <color rgb="FF000000"/>
        <sz val="10.0"/>
      </rPr>
      <t>50</t>
    </r>
    <r>
      <rPr>
        <rFont val="Noto Sans CJK SC"/>
        <color rgb="FF000000"/>
        <sz val="10.0"/>
      </rPr>
      <t xml:space="preserve">건 각각의 </t>
    </r>
    <r>
      <rPr>
        <rFont val="Arial"/>
        <color rgb="FF000000"/>
        <sz val="10.0"/>
      </rPr>
      <t xml:space="preserve">KTAS </t>
    </r>
    <r>
      <rPr>
        <rFont val="Noto Sans CJK SC"/>
        <color rgb="FF000000"/>
        <sz val="10.0"/>
      </rPr>
      <t>레벨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분류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길이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녹음 길이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의학 도메인 특징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활력징후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의학용어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영문 약어</t>
    </r>
    <r>
      <rPr>
        <rFont val="Arial"/>
        <color rgb="FF000000"/>
        <sz val="10.0"/>
      </rPr>
      <t>). index</t>
    </r>
    <r>
      <rPr>
        <rFont val="Noto Sans CJK SC"/>
        <color rgb="FF000000"/>
        <sz val="10.0"/>
      </rPr>
      <t>와 음성 파일명</t>
    </r>
    <r>
      <rPr>
        <rFont val="Arial"/>
        <color rgb="FF000000"/>
        <sz val="10.0"/>
      </rPr>
      <t>(index.m4a)</t>
    </r>
    <r>
      <rPr>
        <rFont val="Noto Sans CJK SC"/>
        <color rgb="FF000000"/>
        <sz val="10.0"/>
      </rPr>
      <t xml:space="preserve">이 </t>
    </r>
    <r>
      <rPr>
        <rFont val="Arial"/>
        <color rgb="FF000000"/>
        <sz val="10.0"/>
      </rPr>
      <t>1:1</t>
    </r>
    <r>
      <rPr>
        <rFont val="Noto Sans CJK SC"/>
        <color rgb="FF000000"/>
        <sz val="10.0"/>
      </rPr>
      <t>로 대응</t>
    </r>
    <r>
      <rPr>
        <rFont val="Arial"/>
        <color rgb="FF000000"/>
        <sz val="10.0"/>
      </rPr>
      <t>.</t>
    </r>
  </si>
  <si>
    <t>읽지 않음</t>
  </si>
  <si>
    <r>
      <rPr>
        <rFont val="Noto Sans"/>
        <b/>
        <color rgb="FFFFFFFF"/>
        <sz val="10.0"/>
      </rPr>
      <t xml:space="preserve">발화 속도
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글자</t>
    </r>
    <r>
      <rPr>
        <rFont val="Arial"/>
        <b/>
        <color rgb="FFFFFFFF"/>
        <sz val="10.0"/>
      </rPr>
      <t>/</t>
    </r>
    <r>
      <rPr>
        <rFont val="Noto Sans CJK SC"/>
        <b/>
        <color rgb="FFFFFFFF"/>
        <sz val="10.0"/>
      </rPr>
      <t>초</t>
    </r>
    <r>
      <rPr>
        <rFont val="Arial"/>
        <b/>
        <color rgb="FFFFFFFF"/>
        <sz val="10.0"/>
      </rPr>
      <t>)</t>
    </r>
  </si>
  <si>
    <t>활력징후 항목</t>
  </si>
  <si>
    <r>
      <rPr>
        <rFont val="Noto Sans"/>
        <b/>
        <color rgb="FFFFFFFF"/>
        <sz val="10.0"/>
      </rPr>
      <t>통증점수</t>
    </r>
    <r>
      <rPr>
        <rFont val="Arial"/>
        <b/>
        <color rgb="FFFFFFFF"/>
        <sz val="10.0"/>
      </rPr>
      <t xml:space="preserve">(NRS </t>
    </r>
    <r>
      <rPr>
        <rFont val="Noto Sans CJK SC"/>
        <b/>
        <color rgb="FFFFFFFF"/>
        <sz val="10.0"/>
      </rPr>
      <t>등</t>
    </r>
    <r>
      <rPr>
        <rFont val="Arial"/>
        <b/>
        <color rgb="FFFFFFFF"/>
        <sz val="10.0"/>
      </rPr>
      <t xml:space="preserve">) </t>
    </r>
    <r>
      <rPr>
        <rFont val="Noto Sans CJK SC"/>
        <b/>
        <color rgb="FFFFFFFF"/>
        <sz val="10.0"/>
      </rPr>
      <t>포함</t>
    </r>
  </si>
  <si>
    <r>
      <rPr>
        <rFont val="Noto Sans"/>
        <color rgb="FF000000"/>
        <sz val="10.0"/>
      </rPr>
      <t>녹음 시 역할 구분용 표시</t>
    </r>
    <r>
      <rPr>
        <rFont val="Arial"/>
        <color rgb="FF000000"/>
        <sz val="10.0"/>
      </rPr>
      <t xml:space="preserve">. CER </t>
    </r>
    <r>
      <rPr>
        <rFont val="Noto Sans CJK SC"/>
        <color rgb="FF000000"/>
        <sz val="10.0"/>
      </rPr>
      <t>계산 시에도 제거</t>
    </r>
  </si>
  <si>
    <t>수치 토큰 수</t>
  </si>
  <si>
    <r>
      <rPr>
        <rFont val="Noto Sans"/>
        <b/>
        <color rgb="FFFFFFFF"/>
        <sz val="10.0"/>
      </rPr>
      <t>영문</t>
    </r>
    <r>
      <rPr>
        <rFont val="Arial"/>
        <b/>
        <color rgb="FFFFFFFF"/>
        <sz val="10.0"/>
      </rPr>
      <t>·</t>
    </r>
    <r>
      <rPr>
        <rFont val="Noto Sans CJK SC"/>
        <b/>
        <color rgb="FFFFFFFF"/>
        <sz val="10.0"/>
      </rPr>
      <t>약어 표기</t>
    </r>
  </si>
  <si>
    <r>
      <rPr>
        <rFont val="Noto Sans"/>
        <b/>
        <color rgb="FFFFFFFF"/>
        <sz val="10.0"/>
      </rPr>
      <t>의학용어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사전 매칭</t>
    </r>
    <r>
      <rPr>
        <rFont val="Arial"/>
        <b/>
        <color rgb="FFFFFFFF"/>
        <sz val="10.0"/>
      </rPr>
      <t>)</t>
    </r>
  </si>
  <si>
    <t>낭독규칙표</t>
  </si>
  <si>
    <t>0.m4a</t>
  </si>
  <si>
    <r>
      <rPr>
        <rFont val="Noto Sans"/>
        <color rgb="FF000000"/>
        <sz val="10.0"/>
      </rPr>
      <t>숫자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단위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영문 약어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 xml:space="preserve">기호를 한글로 읽는 통일 규칙 </t>
    </r>
    <r>
      <rPr>
        <rFont val="Arial"/>
        <color rgb="FF000000"/>
        <sz val="10.0"/>
      </rPr>
      <t>32</t>
    </r>
    <r>
      <rPr>
        <rFont val="Noto Sans CJK SC"/>
        <color rgb="FF000000"/>
        <sz val="10.0"/>
      </rPr>
      <t>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녹음 기준이자 </t>
    </r>
    <r>
      <rPr>
        <rFont val="Arial"/>
        <color rgb="FF000000"/>
        <sz val="10.0"/>
      </rPr>
      <t xml:space="preserve">STT </t>
    </r>
    <r>
      <rPr>
        <rFont val="Noto Sans CJK SC"/>
        <color rgb="FF000000"/>
        <sz val="10.0"/>
      </rPr>
      <t>출력 정규화 기준</t>
    </r>
    <r>
      <rPr>
        <rFont val="Arial"/>
        <color rgb="FF000000"/>
        <sz val="10.0"/>
      </rPr>
      <t>.</t>
    </r>
  </si>
  <si>
    <t>근골격계</t>
  </si>
  <si>
    <r>
      <rPr>
        <rFont val="Noto Sans"/>
        <color rgb="FF000000"/>
        <sz val="10.0"/>
      </rPr>
      <t>쉼표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마침표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말줄임표</t>
    </r>
    <r>
      <rPr>
        <rFont val="Arial"/>
        <color rgb="FF000000"/>
        <sz val="10.0"/>
      </rPr>
      <t>(…)·</t>
    </r>
    <r>
      <rPr>
        <rFont val="Noto Sans CJK SC"/>
        <color rgb="FF000000"/>
        <sz val="10.0"/>
      </rPr>
      <t>물음표</t>
    </r>
  </si>
  <si>
    <t>읽지 않고 쉼으로 처리</t>
  </si>
  <si>
    <r>
      <rPr>
        <rFont val="Noto Sans"/>
        <color rgb="FF000000"/>
        <sz val="10.0"/>
      </rPr>
      <t>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등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허리 통증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</si>
  <si>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</si>
  <si>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Arial"/>
        <color rgb="FF000000"/>
        <sz val="10.0"/>
      </rPr>
      <t xml:space="preserve">CER </t>
    </r>
    <r>
      <rPr>
        <rFont val="Noto Sans CJK SC"/>
        <color rgb="FF000000"/>
        <sz val="10.0"/>
      </rPr>
      <t>계산 시 문장부호는 제거</t>
    </r>
  </si>
  <si>
    <r>
      <rPr>
        <rFont val="Arial"/>
        <b/>
        <color rgb="FF000000"/>
        <sz val="11.0"/>
      </rPr>
      <t xml:space="preserve">KTAS </t>
    </r>
    <r>
      <rPr>
        <rFont val="Noto Sans CJK SC"/>
        <b/>
        <color rgb="FF000000"/>
        <sz val="11.0"/>
      </rPr>
      <t xml:space="preserve">레벨별 요약 </t>
    </r>
    <r>
      <rPr>
        <rFont val="Arial"/>
        <b/>
        <color rgb="FF000000"/>
        <sz val="11.0"/>
      </rPr>
      <t>(</t>
    </r>
    <r>
      <rPr>
        <rFont val="Noto Sans CJK SC"/>
        <b/>
        <color rgb="FF000000"/>
        <sz val="11.0"/>
      </rPr>
      <t>선별근거 시트에서 자동 계산</t>
    </r>
    <r>
      <rPr>
        <rFont val="Arial"/>
        <b/>
        <color rgb="FF000000"/>
        <sz val="11.0"/>
      </rPr>
      <t>)</t>
    </r>
  </si>
  <si>
    <t>환자측</t>
  </si>
  <si>
    <t>숫자</t>
  </si>
  <si>
    <t>기본 숫자 읽기</t>
  </si>
  <si>
    <r>
      <rPr>
        <rFont val="Noto Sans"/>
        <color rgb="FF000000"/>
        <sz val="10.0"/>
      </rPr>
      <t>한자어 수사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이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삼 …</t>
    </r>
    <r>
      <rPr>
        <rFont val="Arial"/>
        <color rgb="FF000000"/>
        <sz val="10.0"/>
      </rPr>
      <t>)</t>
    </r>
  </si>
  <si>
    <r>
      <rPr>
        <rFont val="Noto Sans"/>
        <color rgb="FF000000"/>
        <sz val="10.0"/>
      </rPr>
      <t xml:space="preserve">맥박 </t>
    </r>
    <r>
      <rPr>
        <rFont val="Arial"/>
        <color rgb="FF000000"/>
        <sz val="10.0"/>
      </rPr>
      <t xml:space="preserve">122, </t>
    </r>
    <r>
      <rPr>
        <rFont val="Noto Sans CJK SC"/>
        <color rgb="FF000000"/>
        <sz val="10.0"/>
      </rPr>
      <t xml:space="preserve">호흡수 </t>
    </r>
    <r>
      <rPr>
        <rFont val="Arial"/>
        <color rgb="FF000000"/>
        <sz val="10.0"/>
      </rPr>
      <t xml:space="preserve">24 → </t>
    </r>
    <r>
      <rPr>
        <rFont val="Noto Sans CJK SC"/>
        <color rgb="FF000000"/>
        <sz val="10.0"/>
      </rPr>
      <t>맥박 백이십이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 이십사</t>
    </r>
  </si>
  <si>
    <r>
      <rPr>
        <rFont val="Arial"/>
        <b/>
        <color rgb="FFFFFFFF"/>
        <sz val="10.0"/>
      </rPr>
      <t xml:space="preserve">KTAS </t>
    </r>
    <r>
      <rPr>
        <rFont val="Noto Sans CJK SC"/>
        <b/>
        <color rgb="FFFFFFFF"/>
        <sz val="10.0"/>
      </rPr>
      <t>레벨</t>
    </r>
  </si>
  <si>
    <r>
      <rPr>
        <rFont val="Noto Sans"/>
        <color rgb="FF000000"/>
        <sz val="10.0"/>
      </rPr>
      <t>환자 번호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번</t>
    </r>
    <r>
      <rPr>
        <rFont val="Arial"/>
        <color rgb="FF000000"/>
        <sz val="10.0"/>
      </rPr>
      <t xml:space="preserve">), </t>
    </r>
    <r>
      <rPr>
        <rFont val="Noto Sans CJK SC"/>
        <color rgb="FF000000"/>
        <sz val="10.0"/>
      </rPr>
      <t>나이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세</t>
    </r>
    <r>
      <rPr>
        <rFont val="Arial"/>
        <color rgb="FF000000"/>
        <sz val="10.0"/>
      </rPr>
      <t xml:space="preserve">), </t>
    </r>
    <r>
      <rPr>
        <rFont val="Noto Sans CJK SC"/>
        <color rgb="FF000000"/>
        <sz val="10.0"/>
      </rPr>
      <t>점수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점</t>
    </r>
    <r>
      <rPr>
        <rFont val="Arial"/>
        <color rgb="FF000000"/>
        <sz val="10.0"/>
      </rPr>
      <t xml:space="preserve">), </t>
    </r>
    <r>
      <rPr>
        <rFont val="Noto Sans CJK SC"/>
        <color rgb="FF000000"/>
        <sz val="10.0"/>
      </rPr>
      <t>횟수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회</t>
    </r>
    <r>
      <rPr>
        <rFont val="Arial"/>
        <color rgb="FF000000"/>
        <sz val="10.0"/>
      </rPr>
      <t xml:space="preserve">), </t>
    </r>
    <r>
      <rPr>
        <rFont val="Noto Sans CJK SC"/>
        <color rgb="FF000000"/>
        <sz val="10.0"/>
      </rPr>
      <t>일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주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개월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단위 없는 활력징후 수치 모두 해당</t>
    </r>
  </si>
  <si>
    <t>건수</t>
  </si>
  <si>
    <t>평균 턴 수</t>
  </si>
  <si>
    <t>0</t>
  </si>
  <si>
    <t>턴 수 범위</t>
  </si>
  <si>
    <t>영</t>
  </si>
  <si>
    <t>총 발화 수</t>
  </si>
  <si>
    <r>
      <rPr>
        <rFont val="Noto Sans"/>
        <color rgb="FF000000"/>
        <sz val="10.0"/>
      </rPr>
      <t xml:space="preserve">통증 </t>
    </r>
    <r>
      <rPr>
        <rFont val="Arial"/>
        <color rgb="FF000000"/>
        <sz val="10.0"/>
      </rPr>
      <t>0~10</t>
    </r>
    <r>
      <rPr>
        <rFont val="Noto Sans CJK SC"/>
        <color rgb="FF000000"/>
        <sz val="10.0"/>
      </rPr>
      <t>점 기준 → 통증 영에서 십 점 기준</t>
    </r>
  </si>
  <si>
    <r>
      <rPr>
        <rFont val="Arial"/>
        <b/>
        <color rgb="FFFFFFFF"/>
        <sz val="10.0"/>
      </rPr>
      <t>15</t>
    </r>
    <r>
      <rPr>
        <rFont val="Noto Sans CJK SC"/>
        <b/>
        <color rgb="FFFFFFFF"/>
        <sz val="10.0"/>
      </rPr>
      <t>세 미만</t>
    </r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</si>
  <si>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공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사용하지 않음</t>
    </r>
  </si>
  <si>
    <t>모름류 발화
포함 대화</t>
  </si>
  <si>
    <r>
      <rPr>
        <rFont val="Noto Sans"/>
        <color rgb="FF000000"/>
        <sz val="10.0"/>
      </rPr>
      <t xml:space="preserve">소수점 </t>
    </r>
    <r>
      <rPr>
        <rFont val="Arial"/>
        <color rgb="FF000000"/>
        <sz val="10.0"/>
      </rPr>
      <t>(.)</t>
    </r>
  </si>
  <si>
    <r>
      <rPr>
        <rFont val="Noto Sans"/>
        <color rgb="FF000000"/>
        <sz val="10.0"/>
      </rPr>
      <t>점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소수부는 한 자리씩</t>
    </r>
  </si>
  <si>
    <r>
      <rPr>
        <rFont val="Noto Sans"/>
        <b/>
        <color rgb="FFFFFFFF"/>
        <sz val="10.0"/>
      </rPr>
      <t>녹음 길이
합계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분</t>
    </r>
    <r>
      <rPr>
        <rFont val="Arial"/>
        <b/>
        <color rgb="FFFFFFFF"/>
        <sz val="10.0"/>
      </rPr>
      <t>)</t>
    </r>
  </si>
  <si>
    <r>
      <rPr>
        <rFont val="Noto Sans"/>
        <color rgb="FF000000"/>
        <sz val="10.0"/>
      </rPr>
      <t xml:space="preserve">체온 </t>
    </r>
    <r>
      <rPr>
        <rFont val="Arial"/>
        <color rgb="FF000000"/>
        <sz val="10.0"/>
      </rPr>
      <t xml:space="preserve">37.0℃ → </t>
    </r>
    <r>
      <rPr>
        <rFont val="Noto Sans CJK SC"/>
        <color rgb="FF000000"/>
        <sz val="10.0"/>
      </rPr>
      <t>체온 삼십칠 점 영 도</t>
    </r>
  </si>
  <si>
    <r>
      <rPr>
        <rFont val="Noto Sans"/>
        <b/>
        <color rgb="FFFFFFFF"/>
        <sz val="10.0"/>
      </rPr>
      <t xml:space="preserve">평균 발화 속도
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글자</t>
    </r>
    <r>
      <rPr>
        <rFont val="Arial"/>
        <b/>
        <color rgb="FFFFFFFF"/>
        <sz val="10.0"/>
      </rPr>
      <t>/</t>
    </r>
    <r>
      <rPr>
        <rFont val="Noto Sans CJK SC"/>
        <b/>
        <color rgb="FFFFFFFF"/>
        <sz val="10.0"/>
      </rPr>
      <t>초</t>
    </r>
    <r>
      <rPr>
        <rFont val="Arial"/>
        <b/>
        <color rgb="FFFFFFFF"/>
        <sz val="10.0"/>
      </rPr>
      <t>)</t>
    </r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</si>
  <si>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쩜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 xml:space="preserve">대신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점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으로 표기</t>
    </r>
  </si>
  <si>
    <r>
      <rPr>
        <rFont val="Arial"/>
        <color rgb="FF000000"/>
        <sz val="10.0"/>
      </rPr>
      <t>N</t>
    </r>
    <r>
      <rPr>
        <rFont val="Noto Sans CJK SC"/>
        <color rgb="FF000000"/>
        <sz val="10.0"/>
      </rPr>
      <t xml:space="preserve">살 </t>
    </r>
    <r>
      <rPr>
        <rFont val="Arial"/>
        <color rgb="FF000000"/>
        <sz val="10.0"/>
      </rPr>
      <t>/ N</t>
    </r>
    <r>
      <rPr>
        <rFont val="Noto Sans CJK SC"/>
        <color rgb="FF000000"/>
        <sz val="10.0"/>
      </rPr>
      <t xml:space="preserve">시간 </t>
    </r>
    <r>
      <rPr>
        <rFont val="Arial"/>
        <color rgb="FF000000"/>
        <sz val="10.0"/>
      </rPr>
      <t>/ N</t>
    </r>
    <r>
      <rPr>
        <rFont val="Noto Sans CJK SC"/>
        <color rgb="FF000000"/>
        <sz val="10.0"/>
      </rPr>
      <t>시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시각</t>
    </r>
    <r>
      <rPr>
        <rFont val="Arial"/>
        <color rgb="FF000000"/>
        <sz val="10.0"/>
      </rPr>
      <t>)</t>
    </r>
  </si>
  <si>
    <r>
      <rPr>
        <rFont val="Noto Sans"/>
        <color rgb="FF000000"/>
        <sz val="10.0"/>
      </rPr>
      <t>고유어 수사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한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두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세 … 스물네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일흔다섯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</si>
  <si>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>28</t>
    </r>
    <r>
      <rPr>
        <rFont val="Noto Sans CJK SC"/>
        <color rgb="FF000000"/>
        <sz val="10.0"/>
      </rPr>
      <t xml:space="preserve">살 → 스물여덟 살 </t>
    </r>
    <r>
      <rPr>
        <rFont val="Arial"/>
        <color rgb="FF000000"/>
        <sz val="10.0"/>
      </rPr>
      <t>/ 24</t>
    </r>
    <r>
      <rPr>
        <rFont val="Noto Sans CJK SC"/>
        <color rgb="FF000000"/>
        <sz val="10.0"/>
      </rPr>
      <t xml:space="preserve">시간 이내 → 스물네 시간 이내 </t>
    </r>
    <r>
      <rPr>
        <rFont val="Arial"/>
        <color rgb="FF000000"/>
        <sz val="10.0"/>
      </rPr>
      <t xml:space="preserve">/ </t>
    </r>
    <r>
      <rPr>
        <rFont val="Noto Sans CJK SC"/>
        <color rgb="FF000000"/>
        <sz val="10.0"/>
      </rPr>
      <t xml:space="preserve">밤 </t>
    </r>
    <r>
      <rPr>
        <rFont val="Arial"/>
        <color rgb="FF000000"/>
        <sz val="10.0"/>
      </rPr>
      <t>9</t>
    </r>
    <r>
      <rPr>
        <rFont val="Noto Sans CJK SC"/>
        <color rgb="FF000000"/>
        <sz val="10.0"/>
      </rPr>
      <t>시부터 → 밤 아홉 시부터</t>
    </r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</si>
  <si>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세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는 한자어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오십 세</t>
    </r>
    <r>
      <rPr>
        <rFont val="Arial"/>
        <color rgb="FF000000"/>
        <sz val="10.0"/>
      </rPr>
      <t>), '</t>
    </r>
    <r>
      <rPr>
        <rFont val="Noto Sans CJK SC"/>
        <color rgb="FF000000"/>
        <sz val="10.0"/>
      </rPr>
      <t>살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은 고유어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스물여덟 살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로 원문 단위를 따름</t>
    </r>
  </si>
  <si>
    <t>119</t>
  </si>
  <si>
    <t>일일구</t>
  </si>
  <si>
    <r>
      <rPr>
        <rFont val="Arial"/>
        <color rgb="FF000000"/>
        <sz val="10.0"/>
      </rPr>
      <t xml:space="preserve">119 </t>
    </r>
    <r>
      <rPr>
        <rFont val="Noto Sans CJK SC"/>
        <color rgb="FF000000"/>
        <sz val="10.0"/>
      </rPr>
      <t>부르고 왔어요 → 일일구 부르고 왔어요</t>
    </r>
  </si>
  <si>
    <t>신고 번호는 자릿수대로</t>
  </si>
  <si>
    <r>
      <rPr>
        <rFont val="Noto Sans"/>
        <color rgb="FF000000"/>
        <sz val="10.0"/>
      </rPr>
      <t xml:space="preserve">범위 </t>
    </r>
    <r>
      <rPr>
        <rFont val="Arial"/>
        <color rgb="FF000000"/>
        <sz val="10.0"/>
      </rPr>
      <t>(~)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</si>
  <si>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</si>
  <si>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t>Y</t>
  </si>
  <si>
    <r>
      <rPr>
        <rFont val="Noto Sans"/>
        <color rgb="FF000000"/>
        <sz val="10.0"/>
      </rPr>
      <t>연속한 한 자리 수는 붙여 읽기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그 외는 </t>
    </r>
    <r>
      <rPr>
        <rFont val="Arial"/>
        <color rgb="FF000000"/>
        <sz val="10.0"/>
      </rPr>
      <t>A</t>
    </r>
    <r>
      <rPr>
        <rFont val="Noto Sans CJK SC"/>
        <color rgb="FF000000"/>
        <sz val="10.0"/>
      </rPr>
      <t xml:space="preserve">에서 </t>
    </r>
    <r>
      <rPr>
        <rFont val="Arial"/>
        <color rgb="FF000000"/>
        <sz val="10.0"/>
      </rPr>
      <t>B</t>
    </r>
  </si>
  <si>
    <r>
      <rPr>
        <rFont val="Arial"/>
        <color rgb="FF000000"/>
        <sz val="10.0"/>
      </rPr>
      <t>3~4</t>
    </r>
    <r>
      <rPr>
        <rFont val="Noto Sans CJK SC"/>
        <color rgb="FF000000"/>
        <sz val="10.0"/>
      </rPr>
      <t xml:space="preserve">일 전부터 → 삼사 일 전부터 </t>
    </r>
    <r>
      <rPr>
        <rFont val="Arial"/>
        <color rgb="FF000000"/>
        <sz val="10.0"/>
      </rPr>
      <t>/ 1~2</t>
    </r>
    <r>
      <rPr>
        <rFont val="Noto Sans CJK SC"/>
        <color rgb="FF000000"/>
        <sz val="10.0"/>
      </rPr>
      <t xml:space="preserve">분이면 → 일이 분이면 </t>
    </r>
    <r>
      <rPr>
        <rFont val="Arial"/>
        <color rgb="FF000000"/>
        <sz val="10.0"/>
      </rPr>
      <t>/ 0~10</t>
    </r>
    <r>
      <rPr>
        <rFont val="Noto Sans CJK SC"/>
        <color rgb="FF000000"/>
        <sz val="10.0"/>
      </rPr>
      <t>점 → 영에서 십 점</t>
    </r>
  </si>
  <si>
    <t>MOTOR, NRS, POWER, mmHg</t>
  </si>
  <si>
    <t>활력징후</t>
  </si>
  <si>
    <r>
      <rPr>
        <rFont val="Noto Sans"/>
        <color rgb="FF000000"/>
        <sz val="10.0"/>
      </rPr>
      <t xml:space="preserve">혈압 </t>
    </r>
    <r>
      <rPr>
        <rFont val="Arial"/>
        <color rgb="FF000000"/>
        <sz val="10.0"/>
      </rPr>
      <t>A/B</t>
    </r>
  </si>
  <si>
    <r>
      <rPr>
        <rFont val="Arial"/>
        <color rgb="FF000000"/>
        <sz val="10.0"/>
      </rPr>
      <t>A</t>
    </r>
    <r>
      <rPr>
        <rFont val="Noto Sans CJK SC"/>
        <color rgb="FF000000"/>
        <sz val="10.0"/>
      </rPr>
      <t xml:space="preserve">에 </t>
    </r>
    <r>
      <rPr>
        <rFont val="Arial"/>
        <color rgb="FF000000"/>
        <sz val="10.0"/>
      </rPr>
      <t>B</t>
    </r>
  </si>
  <si>
    <r>
      <rPr>
        <rFont val="Noto Sans"/>
        <color rgb="FF000000"/>
        <sz val="10.0"/>
      </rPr>
      <t xml:space="preserve">혈압 </t>
    </r>
    <r>
      <rPr>
        <rFont val="Arial"/>
        <color rgb="FF000000"/>
        <sz val="10.0"/>
      </rPr>
      <t xml:space="preserve">130/80 → </t>
    </r>
    <r>
      <rPr>
        <rFont val="Noto Sans CJK SC"/>
        <color rgb="FF000000"/>
        <sz val="10.0"/>
      </rPr>
      <t>혈압 백삼십에 팔십</t>
    </r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</si>
  <si>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슬래시</t>
    </r>
    <r>
      <rPr>
        <rFont val="Arial"/>
        <color rgb="FF000000"/>
        <sz val="10.0"/>
      </rPr>
      <t>', '</t>
    </r>
    <r>
      <rPr>
        <rFont val="Noto Sans CJK SC"/>
        <color rgb="FF000000"/>
        <sz val="10.0"/>
      </rPr>
      <t>오버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로 읽지 않음</t>
    </r>
  </si>
  <si>
    <r>
      <rPr>
        <rFont val="Arial"/>
        <color rgb="FF000000"/>
        <sz val="10.0"/>
      </rPr>
      <t xml:space="preserve">NRS, mmHg, </t>
    </r>
    <r>
      <rPr>
        <rFont val="Noto Sans CJK SC"/>
        <color rgb="FF000000"/>
        <sz val="10.0"/>
      </rPr>
      <t>감각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근력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디스크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소변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수술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저림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</si>
  <si>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단위</t>
  </si>
  <si>
    <t>mmHg</t>
  </si>
  <si>
    <t>엠엠에이치지</t>
  </si>
  <si>
    <r>
      <rPr>
        <rFont val="Noto Sans"/>
        <color rgb="FF000000"/>
        <sz val="10.0"/>
      </rPr>
      <t xml:space="preserve">혈압 </t>
    </r>
    <r>
      <rPr>
        <rFont val="Arial"/>
        <color rgb="FF000000"/>
        <sz val="10.0"/>
      </rPr>
      <t xml:space="preserve">125/80 mmHg → </t>
    </r>
    <r>
      <rPr>
        <rFont val="Noto Sans CJK SC"/>
        <color rgb="FF000000"/>
        <sz val="10.0"/>
      </rPr>
      <t>혈압 백이십오에 팔십 엠엠에이치지</t>
    </r>
  </si>
  <si>
    <t>107.m4a</t>
  </si>
  <si>
    <r>
      <rPr>
        <rFont val="Noto Sans"/>
        <color rgb="FF000000"/>
        <sz val="10.0"/>
      </rPr>
      <t>현장 관용 발음 채택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표준 명칭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수은주밀리미터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로 바꿀 경우 이 행만 교체</t>
    </r>
  </si>
  <si>
    <r>
      <rPr>
        <rFont val="Noto Sans"/>
        <color rgb="FF000000"/>
        <sz val="10.0"/>
      </rPr>
      <t>회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분</t>
    </r>
  </si>
  <si>
    <r>
      <rPr>
        <rFont val="Noto Sans"/>
        <color rgb="FF000000"/>
        <sz val="10.0"/>
      </rPr>
      <t>임신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여성생식계</t>
    </r>
  </si>
  <si>
    <r>
      <rPr>
        <rFont val="Noto Sans"/>
        <color rgb="FF000000"/>
        <sz val="10.0"/>
      </rPr>
      <t xml:space="preserve">분당 </t>
    </r>
    <r>
      <rPr>
        <rFont val="Arial"/>
        <color rgb="FF000000"/>
        <sz val="10.0"/>
      </rPr>
      <t xml:space="preserve">N </t>
    </r>
    <r>
      <rPr>
        <rFont val="Noto Sans CJK SC"/>
        <color rgb="FF000000"/>
        <sz val="10.0"/>
      </rPr>
      <t>회</t>
    </r>
  </si>
  <si>
    <t>월경 문제</t>
  </si>
  <si>
    <r>
      <rPr>
        <rFont val="Noto Sans"/>
        <color rgb="FF000000"/>
        <sz val="10.0"/>
      </rPr>
      <t xml:space="preserve">맥박 </t>
    </r>
    <r>
      <rPr>
        <rFont val="Arial"/>
        <color rgb="FF000000"/>
        <sz val="10.0"/>
      </rPr>
      <t>76</t>
    </r>
    <r>
      <rPr>
        <rFont val="Noto Sans CJK SC"/>
        <color rgb="FF000000"/>
        <sz val="10.0"/>
      </rPr>
      <t>회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분 → 맥박 분당 칠십육 회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</si>
  <si>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</si>
  <si>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회 퍼 분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으로 읽지 않음</t>
    </r>
  </si>
  <si>
    <r>
      <rPr>
        <rFont val="Arial"/>
        <color rgb="FF000000"/>
        <sz val="10.0"/>
      </rPr>
      <t xml:space="preserve">℃ / °C / </t>
    </r>
    <r>
      <rPr>
        <rFont val="Noto Sans CJK SC"/>
        <color rgb="FF000000"/>
        <sz val="10.0"/>
      </rPr>
      <t>도</t>
    </r>
  </si>
  <si>
    <r>
      <rPr>
        <rFont val="Noto Sans"/>
        <color rgb="FF000000"/>
        <sz val="10.0"/>
      </rPr>
      <t xml:space="preserve">도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섭씨 생략</t>
    </r>
    <r>
      <rPr>
        <rFont val="Arial"/>
        <color rgb="FF000000"/>
        <sz val="10.0"/>
      </rPr>
      <t>)</t>
    </r>
  </si>
  <si>
    <r>
      <rPr>
        <rFont val="Noto Sans"/>
        <color rgb="FF000000"/>
        <sz val="10.0"/>
      </rPr>
      <t xml:space="preserve">체온 </t>
    </r>
    <r>
      <rPr>
        <rFont val="Arial"/>
        <color rgb="FF000000"/>
        <sz val="10.0"/>
      </rPr>
      <t xml:space="preserve">36.6℃ → </t>
    </r>
    <r>
      <rPr>
        <rFont val="Noto Sans CJK SC"/>
        <color rgb="FF000000"/>
        <sz val="10.0"/>
      </rPr>
      <t xml:space="preserve">체온 삼십육 점 육 도 </t>
    </r>
    <r>
      <rPr>
        <rFont val="Arial"/>
        <color rgb="FF000000"/>
        <sz val="10.0"/>
      </rPr>
      <t xml:space="preserve">/ </t>
    </r>
    <r>
      <rPr>
        <rFont val="Noto Sans CJK SC"/>
        <color rgb="FF000000"/>
        <sz val="10.0"/>
      </rPr>
      <t xml:space="preserve">체온 </t>
    </r>
    <r>
      <rPr>
        <rFont val="Arial"/>
        <color rgb="FF000000"/>
        <sz val="10.0"/>
      </rPr>
      <t>36.7</t>
    </r>
    <r>
      <rPr>
        <rFont val="Noto Sans CJK SC"/>
        <color rgb="FF000000"/>
        <sz val="10.0"/>
      </rPr>
      <t>도 → 체온 삼십육 점 칠 도</t>
    </r>
  </si>
  <si>
    <t>%</t>
  </si>
  <si>
    <t>퍼센트</t>
  </si>
  <si>
    <r>
      <rPr>
        <rFont val="Noto Sans"/>
        <color rgb="FF000000"/>
        <sz val="10.0"/>
      </rPr>
      <t xml:space="preserve">산소포화도 </t>
    </r>
    <r>
      <rPr>
        <rFont val="Arial"/>
        <color rgb="FF000000"/>
        <sz val="10.0"/>
      </rPr>
      <t xml:space="preserve">98% → </t>
    </r>
    <r>
      <rPr>
        <rFont val="Noto Sans CJK SC"/>
        <color rgb="FF000000"/>
        <sz val="10.0"/>
      </rPr>
      <t>산소포화도 구십팔 퍼센트</t>
    </r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</si>
  <si>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프로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로 읽지 않음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</si>
  <si>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</si>
  <si>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t>mg/dL</t>
  </si>
  <si>
    <t>밀리그램 퍼 데시리터</t>
  </si>
  <si>
    <r>
      <rPr>
        <rFont val="Arial"/>
        <color rgb="FF000000"/>
        <sz val="10.0"/>
      </rPr>
      <t>BST 220mg/dL</t>
    </r>
    <r>
      <rPr>
        <rFont val="Noto Sans CJK SC"/>
        <color rgb="FF000000"/>
        <sz val="10.0"/>
      </rPr>
      <t>이에요 → 비에스티 이백이십 밀리그램 퍼 데시리터예요</t>
    </r>
  </si>
  <si>
    <t>Alert, NRS, SPO2, mmHg</t>
  </si>
  <si>
    <r>
      <rPr>
        <rFont val="Noto Sans"/>
        <color rgb="FF000000"/>
        <sz val="10.0"/>
      </rPr>
      <t>조사도 발음에 맞춰 교정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이에요→예요</t>
    </r>
    <r>
      <rPr>
        <rFont val="Arial"/>
        <color rgb="FF000000"/>
        <sz val="10.0"/>
      </rPr>
      <t>)</t>
    </r>
  </si>
  <si>
    <t>cc</t>
  </si>
  <si>
    <t>씨씨</t>
  </si>
  <si>
    <r>
      <rPr>
        <rFont val="Noto Sans"/>
        <color rgb="FF000000"/>
        <sz val="10.0"/>
      </rPr>
      <t xml:space="preserve">수액 </t>
    </r>
    <r>
      <rPr>
        <rFont val="Arial"/>
        <color rgb="FF000000"/>
        <sz val="10.0"/>
      </rPr>
      <t xml:space="preserve">500cc → </t>
    </r>
    <r>
      <rPr>
        <rFont val="Noto Sans CJK SC"/>
        <color rgb="FF000000"/>
        <sz val="10.0"/>
      </rPr>
      <t>수액 오백 씨씨</t>
    </r>
  </si>
  <si>
    <r>
      <rPr>
        <rFont val="Arial"/>
        <color rgb="FF000000"/>
        <sz val="10.0"/>
      </rPr>
      <t xml:space="preserve">NRS, SPO2, mmHg,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생리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의식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진통제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</si>
  <si>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kg</t>
  </si>
  <si>
    <t>킬로그램</t>
  </si>
  <si>
    <r>
      <rPr>
        <rFont val="Noto Sans"/>
        <color rgb="FF000000"/>
        <sz val="10.0"/>
      </rPr>
      <t xml:space="preserve">약 </t>
    </r>
    <r>
      <rPr>
        <rFont val="Arial"/>
        <color rgb="FF000000"/>
        <sz val="10.0"/>
      </rPr>
      <t xml:space="preserve">5kg </t>
    </r>
    <r>
      <rPr>
        <rFont val="Noto Sans CJK SC"/>
        <color rgb="FF000000"/>
        <sz val="10.0"/>
      </rPr>
      <t>정도 → 약 오 킬로그램 정도</t>
    </r>
  </si>
  <si>
    <t>112.m4a</t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</si>
  <si>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킬로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로 줄이지 않음</t>
    </r>
  </si>
  <si>
    <r>
      <rPr>
        <rFont val="Noto Sans"/>
        <color rgb="FF000000"/>
        <sz val="10.0"/>
      </rPr>
      <t xml:space="preserve">근력 등급 </t>
    </r>
    <r>
      <rPr>
        <rFont val="Arial"/>
        <color rgb="FF000000"/>
        <sz val="10.0"/>
      </rPr>
      <t>N/5</t>
    </r>
  </si>
  <si>
    <r>
      <rPr>
        <rFont val="Noto Sans"/>
        <color rgb="FF000000"/>
        <sz val="10.0"/>
      </rPr>
      <t xml:space="preserve">오 분의 </t>
    </r>
    <r>
      <rPr>
        <rFont val="Arial"/>
        <color rgb="FF000000"/>
        <sz val="10.0"/>
      </rPr>
      <t>N</t>
    </r>
  </si>
  <si>
    <r>
      <rPr>
        <rFont val="Noto Sans"/>
        <color rgb="FF000000"/>
        <sz val="10.0"/>
      </rPr>
      <t>외상성 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등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허리 손상</t>
    </r>
  </si>
  <si>
    <r>
      <rPr>
        <rFont val="Noto Sans"/>
        <color rgb="FF000000"/>
        <sz val="10.0"/>
      </rPr>
      <t xml:space="preserve">근력은 </t>
    </r>
    <r>
      <rPr>
        <rFont val="Arial"/>
        <color rgb="FF000000"/>
        <sz val="10.0"/>
      </rPr>
      <t>4/5</t>
    </r>
    <r>
      <rPr>
        <rFont val="Noto Sans CJK SC"/>
        <color rgb="FF000000"/>
        <sz val="10.0"/>
      </rPr>
      <t>입니다 → 근력은 오 분의 사입니다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</si>
  <si>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</si>
  <si>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t>약어</t>
  </si>
  <si>
    <t>SpO2 / SPO2</t>
  </si>
  <si>
    <t>에스피오투</t>
  </si>
  <si>
    <r>
      <rPr>
        <rFont val="Arial"/>
        <color rgb="FF000000"/>
        <sz val="10.0"/>
      </rPr>
      <t xml:space="preserve">SPO2 98% → </t>
    </r>
    <r>
      <rPr>
        <rFont val="Noto Sans CJK SC"/>
        <color rgb="FF000000"/>
        <sz val="10.0"/>
      </rPr>
      <t>에스피오투 구십팔 퍼센트</t>
    </r>
  </si>
  <si>
    <r>
      <rPr>
        <rFont val="Noto Sans"/>
        <color rgb="FF000000"/>
        <sz val="10.0"/>
      </rPr>
      <t>알파벳은 관용 발음</t>
    </r>
    <r>
      <rPr>
        <rFont val="Arial"/>
        <color rgb="FF000000"/>
        <sz val="10.0"/>
      </rPr>
      <t>(C=</t>
    </r>
    <r>
      <rPr>
        <rFont val="Noto Sans CJK SC"/>
        <color rgb="FF000000"/>
        <sz val="10.0"/>
      </rPr>
      <t>씨</t>
    </r>
    <r>
      <rPr>
        <rFont val="Arial"/>
        <color rgb="FF000000"/>
        <sz val="10.0"/>
      </rPr>
      <t>, R=</t>
    </r>
    <r>
      <rPr>
        <rFont val="Noto Sans CJK SC"/>
        <color rgb="FF000000"/>
        <sz val="10.0"/>
      </rPr>
      <t>알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으로 통일</t>
    </r>
    <r>
      <rPr>
        <rFont val="Arial"/>
        <color rgb="FF000000"/>
        <sz val="10.0"/>
      </rPr>
      <t>. '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로 바꿔 읽지 않음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</si>
  <si>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</si>
  <si>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t>V/S</t>
  </si>
  <si>
    <t>브이에스</t>
  </si>
  <si>
    <t>SPO2, mmHg</t>
  </si>
  <si>
    <r>
      <rPr>
        <rFont val="Arial"/>
        <color rgb="FF000000"/>
        <sz val="10.0"/>
      </rPr>
      <t xml:space="preserve">V/S </t>
    </r>
    <r>
      <rPr>
        <rFont val="Noto Sans CJK SC"/>
        <color rgb="FF000000"/>
        <sz val="10.0"/>
      </rPr>
      <t>알려주세요 → 브이에스 알려주세요</t>
    </r>
  </si>
  <si>
    <t>NRS</t>
  </si>
  <si>
    <t>엔알에스</t>
  </si>
  <si>
    <r>
      <rPr>
        <rFont val="Arial"/>
        <color rgb="FF000000"/>
        <sz val="10.0"/>
      </rPr>
      <t xml:space="preserve">SPO2, mmHg, </t>
    </r>
    <r>
      <rPr>
        <rFont val="Noto Sans CJK SC"/>
        <color rgb="FF000000"/>
        <sz val="10.0"/>
      </rPr>
      <t>구토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외상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저림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</si>
  <si>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r>
      <rPr>
        <rFont val="Arial"/>
        <color rgb="FF000000"/>
        <sz val="10.0"/>
      </rPr>
      <t>NRS 5</t>
    </r>
    <r>
      <rPr>
        <rFont val="Noto Sans CJK SC"/>
        <color rgb="FF000000"/>
        <sz val="10.0"/>
      </rPr>
      <t>점 → 엔알에스 오 점</t>
    </r>
  </si>
  <si>
    <t>126.m4a</t>
  </si>
  <si>
    <t>GCS</t>
  </si>
  <si>
    <t>지씨에스</t>
  </si>
  <si>
    <r>
      <rPr>
        <rFont val="Noto Sans"/>
        <color rgb="FF000000"/>
        <sz val="10.0"/>
      </rPr>
      <t>입</t>
    </r>
    <r>
      <rPr>
        <rFont val="Arial"/>
        <color rgb="FF000000"/>
        <sz val="10.0"/>
      </rPr>
      <t>,</t>
    </r>
    <r>
      <rPr>
        <rFont val="Noto Sans CJK SC"/>
        <color rgb="FF000000"/>
        <sz val="10.0"/>
      </rPr>
      <t>목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얼굴</t>
    </r>
  </si>
  <si>
    <r>
      <rPr>
        <rFont val="Arial"/>
        <color rgb="FF000000"/>
        <sz val="10.0"/>
      </rPr>
      <t>GCS: 15</t>
    </r>
    <r>
      <rPr>
        <rFont val="Noto Sans CJK SC"/>
        <color rgb="FF000000"/>
        <sz val="10.0"/>
      </rPr>
      <t>점 → 지씨에스 십오 점</t>
    </r>
  </si>
  <si>
    <t>인후통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</si>
  <si>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미만</t>
    </r>
  </si>
  <si>
    <t>BST</t>
  </si>
  <si>
    <t>비에스티</t>
  </si>
  <si>
    <r>
      <rPr>
        <rFont val="Arial"/>
        <color rgb="FF000000"/>
        <sz val="10.0"/>
      </rPr>
      <t xml:space="preserve">BST </t>
    </r>
    <r>
      <rPr>
        <rFont val="Noto Sans CJK SC"/>
        <color rgb="FF000000"/>
        <sz val="10.0"/>
      </rPr>
      <t>몇이에요</t>
    </r>
    <r>
      <rPr>
        <rFont val="Arial"/>
        <color rgb="FF000000"/>
        <sz val="10.0"/>
      </rPr>
      <t xml:space="preserve">? → </t>
    </r>
    <r>
      <rPr>
        <rFont val="Noto Sans CJK SC"/>
        <color rgb="FF000000"/>
        <sz val="10.0"/>
      </rPr>
      <t>비에스티 몇이에요</t>
    </r>
    <r>
      <rPr>
        <rFont val="Arial"/>
        <color rgb="FF000000"/>
        <sz val="10.0"/>
      </rPr>
      <t>?</t>
    </r>
  </si>
  <si>
    <t>FPRS</t>
  </si>
  <si>
    <t>에프피알에스</t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</si>
  <si>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</si>
  <si>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>FPRS 2</t>
    </r>
    <r>
      <rPr>
        <rFont val="Noto Sans CJK SC"/>
        <color rgb="FF000000"/>
        <sz val="10.0"/>
      </rPr>
      <t>점이에요 → 에프피알에스 이 점이에요</t>
    </r>
  </si>
  <si>
    <t>FPRS, SPO2, mmHg</t>
  </si>
  <si>
    <t>ESRD</t>
  </si>
  <si>
    <t>이에스알디</t>
  </si>
  <si>
    <r>
      <rPr>
        <rFont val="Arial"/>
        <color rgb="FF000000"/>
        <sz val="10.0"/>
      </rPr>
      <t>ESRD</t>
    </r>
    <r>
      <rPr>
        <rFont val="Noto Sans CJK SC"/>
        <color rgb="FF000000"/>
        <sz val="10.0"/>
      </rPr>
      <t>라 → 이에스알디라</t>
    </r>
  </si>
  <si>
    <r>
      <rPr>
        <rFont val="Arial"/>
        <color rgb="FF000000"/>
        <sz val="10.0"/>
      </rPr>
      <t xml:space="preserve">SPO2, mmHg,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외상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인후통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</si>
  <si>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영문 단어</t>
  </si>
  <si>
    <t>MOTOR POWER / motor grade</t>
  </si>
  <si>
    <t>128.m4a</t>
  </si>
  <si>
    <r>
      <rPr>
        <rFont val="Noto Sans"/>
        <color rgb="FF000000"/>
        <sz val="10.0"/>
      </rPr>
      <t xml:space="preserve">모터 파워 </t>
    </r>
    <r>
      <rPr>
        <rFont val="Arial"/>
        <color rgb="FF000000"/>
        <sz val="10.0"/>
      </rPr>
      <t xml:space="preserve">/ </t>
    </r>
    <r>
      <rPr>
        <rFont val="Noto Sans CJK SC"/>
        <color rgb="FF000000"/>
        <sz val="10.0"/>
      </rPr>
      <t>모터 그레이드</t>
    </r>
  </si>
  <si>
    <t>피부</t>
  </si>
  <si>
    <r>
      <rPr>
        <rFont val="Arial"/>
        <color rgb="FF000000"/>
        <sz val="10.0"/>
      </rPr>
      <t>motor grade</t>
    </r>
    <r>
      <rPr>
        <rFont val="Noto Sans CJK SC"/>
        <color rgb="FF000000"/>
        <sz val="10.0"/>
      </rPr>
      <t>도 → 모터 그레이드도</t>
    </r>
  </si>
  <si>
    <t>감염 가능성 확인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</si>
  <si>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</si>
  <si>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t>Alert</t>
  </si>
  <si>
    <t>얼럿</t>
  </si>
  <si>
    <r>
      <rPr>
        <rFont val="Noto Sans"/>
        <color rgb="FF000000"/>
        <sz val="10.0"/>
      </rPr>
      <t xml:space="preserve">의식수준은 </t>
    </r>
    <r>
      <rPr>
        <rFont val="Arial"/>
        <color rgb="FF000000"/>
        <sz val="10.0"/>
      </rPr>
      <t>Alert</t>
    </r>
    <r>
      <rPr>
        <rFont val="Noto Sans CJK SC"/>
        <color rgb="FF000000"/>
        <sz val="10.0"/>
      </rPr>
      <t>예요 → 의식수준은 얼럿이에요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</si>
  <si>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혈당</t>
    </r>
  </si>
  <si>
    <r>
      <rPr>
        <rFont val="Noto Sans"/>
        <color rgb="FF000000"/>
        <sz val="10.0"/>
      </rPr>
      <t>조사도 발음에 맞춰 교정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예요→이에요</t>
    </r>
    <r>
      <rPr>
        <rFont val="Arial"/>
        <color rgb="FF000000"/>
        <sz val="10.0"/>
      </rPr>
      <t>)</t>
    </r>
  </si>
  <si>
    <t>stupor</t>
  </si>
  <si>
    <t>BST, NRS, SPO2, mg/dL, mmHg</t>
  </si>
  <si>
    <t>스투퍼</t>
  </si>
  <si>
    <r>
      <rPr>
        <rFont val="Noto Sans"/>
        <color rgb="FF000000"/>
        <sz val="10.0"/>
      </rPr>
      <t>기면</t>
    </r>
    <r>
      <rPr>
        <rFont val="Arial"/>
        <color rgb="FF000000"/>
        <sz val="10.0"/>
      </rPr>
      <t>(stupor)</t>
    </r>
    <r>
      <rPr>
        <rFont val="Noto Sans CJK SC"/>
        <color rgb="FF000000"/>
        <sz val="10.0"/>
      </rPr>
      <t>입니다 → 기면 스투퍼입니다</t>
    </r>
  </si>
  <si>
    <t>Mental</t>
  </si>
  <si>
    <t>멘탈</t>
  </si>
  <si>
    <r>
      <rPr>
        <rFont val="Arial"/>
        <color rgb="FF000000"/>
        <sz val="10.0"/>
      </rPr>
      <t xml:space="preserve">Mental: </t>
    </r>
    <r>
      <rPr>
        <rFont val="Noto Sans CJK SC"/>
        <color rgb="FF000000"/>
        <sz val="10.0"/>
      </rPr>
      <t>명료함 입니다 → 멘탈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명료함 입니다</t>
    </r>
  </si>
  <si>
    <r>
      <rPr>
        <rFont val="Arial"/>
        <color rgb="FF000000"/>
        <sz val="10.0"/>
      </rPr>
      <t xml:space="preserve">BST, NRS, SPO2, mmHg,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당뇨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발적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부종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화상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</si>
  <si>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기호</t>
  </si>
  <si>
    <r>
      <rPr>
        <rFont val="Noto Sans"/>
        <color rgb="FF000000"/>
        <sz val="10.0"/>
      </rPr>
      <t xml:space="preserve">괄호 </t>
    </r>
    <r>
      <rPr>
        <rFont val="Arial"/>
        <color rgb="FF000000"/>
        <sz val="10.0"/>
      </rPr>
      <t>( )</t>
    </r>
  </si>
  <si>
    <t>괄호 안 내용도 읽고 기호만 삭제</t>
  </si>
  <si>
    <t>140.m4a</t>
  </si>
  <si>
    <r>
      <rPr>
        <rFont val="Noto Sans"/>
        <color rgb="FF000000"/>
        <sz val="10.0"/>
      </rPr>
      <t>운동 기능</t>
    </r>
    <r>
      <rPr>
        <rFont val="Arial"/>
        <color rgb="FF000000"/>
        <sz val="10.0"/>
      </rPr>
      <t xml:space="preserve">(MOTOR POWER) → </t>
    </r>
    <r>
      <rPr>
        <rFont val="Noto Sans CJK SC"/>
        <color rgb="FF000000"/>
        <sz val="10.0"/>
      </rPr>
      <t>운동 기능 모터 파워</t>
    </r>
  </si>
  <si>
    <t>하지 통증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</si>
  <si>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</si>
  <si>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 xml:space="preserve">콜론 </t>
    </r>
    <r>
      <rPr>
        <rFont val="Arial"/>
        <color rgb="FF000000"/>
        <sz val="10.0"/>
      </rPr>
      <t xml:space="preserve">(:) — </t>
    </r>
    <r>
      <rPr>
        <rFont val="Noto Sans CJK SC"/>
        <color rgb="FF000000"/>
        <sz val="10.0"/>
      </rPr>
      <t>수치 항목 뒤</t>
    </r>
  </si>
  <si>
    <t>삭제</t>
  </si>
  <si>
    <r>
      <rPr>
        <rFont val="Arial"/>
        <color rgb="FF000000"/>
        <sz val="10.0"/>
      </rPr>
      <t xml:space="preserve">SPO2: 98% → </t>
    </r>
    <r>
      <rPr>
        <rFont val="Noto Sans CJK SC"/>
        <color rgb="FF000000"/>
        <sz val="10.0"/>
      </rPr>
      <t xml:space="preserve">에스피오투 구십팔 퍼센트 </t>
    </r>
    <r>
      <rPr>
        <rFont val="Arial"/>
        <color rgb="FF000000"/>
        <sz val="10.0"/>
      </rPr>
      <t>/ GCS: 15</t>
    </r>
    <r>
      <rPr>
        <rFont val="Noto Sans CJK SC"/>
        <color rgb="FF000000"/>
        <sz val="10.0"/>
      </rPr>
      <t>점 → 지씨에스 십오 점</t>
    </r>
  </si>
  <si>
    <r>
      <rPr>
        <rFont val="Noto Sans"/>
        <color rgb="FF000000"/>
        <sz val="10.0"/>
      </rPr>
      <t xml:space="preserve">콜론 </t>
    </r>
    <r>
      <rPr>
        <rFont val="Arial"/>
        <color rgb="FF000000"/>
        <sz val="10.0"/>
      </rPr>
      <t xml:space="preserve">(:) — </t>
    </r>
    <r>
      <rPr>
        <rFont val="Noto Sans CJK SC"/>
        <color rgb="FF000000"/>
        <sz val="10.0"/>
      </rPr>
      <t>항목 표기 뒤</t>
    </r>
  </si>
  <si>
    <r>
      <rPr>
        <rFont val="Noto Sans"/>
        <color rgb="FF000000"/>
        <sz val="10.0"/>
      </rPr>
      <t>쉼표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짧게 쉼</t>
    </r>
    <r>
      <rPr>
        <rFont val="Arial"/>
        <color rgb="FF000000"/>
        <sz val="10.0"/>
      </rPr>
      <t>)</t>
    </r>
  </si>
  <si>
    <r>
      <rPr>
        <rFont val="Noto Sans"/>
        <color rgb="FF000000"/>
        <sz val="10.0"/>
      </rPr>
      <t>과거력</t>
    </r>
    <r>
      <rPr>
        <rFont val="Arial"/>
        <color rgb="FF000000"/>
        <sz val="10.0"/>
      </rPr>
      <t xml:space="preserve">: </t>
    </r>
    <r>
      <rPr>
        <rFont val="Noto Sans CJK SC"/>
        <color rgb="FF000000"/>
        <sz val="10.0"/>
      </rPr>
      <t>고혈압과 당뇨병이 있어요 → 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고혈압과 당뇨병이 있어요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</si>
  <si>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</si>
  <si>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>:', '</t>
    </r>
    <r>
      <rPr>
        <rFont val="Noto Sans CJK SC"/>
        <color rgb="FF000000"/>
        <sz val="10.0"/>
      </rPr>
      <t>특이사항</t>
    </r>
    <r>
      <rPr>
        <rFont val="Arial"/>
        <color rgb="FF000000"/>
        <sz val="10.0"/>
      </rPr>
      <t>:', '</t>
    </r>
    <r>
      <rPr>
        <rFont val="Noto Sans CJK SC"/>
        <color rgb="FF000000"/>
        <sz val="10.0"/>
      </rPr>
      <t>통증점수</t>
    </r>
    <r>
      <rPr>
        <rFont val="Arial"/>
        <color rgb="FF000000"/>
        <sz val="10.0"/>
      </rPr>
      <t xml:space="preserve">:', 'Mental:' </t>
    </r>
    <r>
      <rPr>
        <rFont val="Noto Sans CJK SC"/>
        <color rgb="FF000000"/>
        <sz val="10.0"/>
      </rPr>
      <t>등</t>
    </r>
  </si>
  <si>
    <t>NRS, SPO2, mmHg</t>
  </si>
  <si>
    <r>
      <rPr>
        <rFont val="Noto Sans"/>
        <color rgb="FF000000"/>
        <sz val="10.0"/>
      </rPr>
      <t xml:space="preserve">등호 </t>
    </r>
    <r>
      <rPr>
        <rFont val="Arial"/>
        <color rgb="FF000000"/>
        <sz val="10.0"/>
      </rPr>
      <t>(=)</t>
    </r>
  </si>
  <si>
    <r>
      <rPr>
        <rFont val="Noto Sans"/>
        <color rgb="FF000000"/>
        <sz val="10.0"/>
      </rPr>
      <t xml:space="preserve">활력징후 </t>
    </r>
    <r>
      <rPr>
        <rFont val="Arial"/>
        <color rgb="FF000000"/>
        <sz val="10.0"/>
      </rPr>
      <t xml:space="preserve">= V/S: </t>
    </r>
    <r>
      <rPr>
        <rFont val="Noto Sans CJK SC"/>
        <color rgb="FF000000"/>
        <sz val="10.0"/>
      </rPr>
      <t xml:space="preserve">혈압 </t>
    </r>
    <r>
      <rPr>
        <rFont val="Arial"/>
        <color rgb="FF000000"/>
        <sz val="10.0"/>
      </rPr>
      <t xml:space="preserve">75/40 mmHg → </t>
    </r>
    <r>
      <rPr>
        <rFont val="Noto Sans CJK SC"/>
        <color rgb="FF000000"/>
        <sz val="10.0"/>
      </rPr>
      <t>활력징후 브이에스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 칠십오에 사십 엠엠에이치지</t>
    </r>
  </si>
  <si>
    <r>
      <rPr>
        <rFont val="Arial"/>
        <color rgb="FF000000"/>
        <sz val="10.0"/>
      </rPr>
      <t xml:space="preserve">NRS, SPO2, mmHg, </t>
    </r>
    <r>
      <rPr>
        <rFont val="Noto Sans CJK SC"/>
        <color rgb="FF000000"/>
        <sz val="10.0"/>
      </rPr>
      <t>고혈압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당뇨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발적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외상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</si>
  <si>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146.m4a</t>
  </si>
  <si>
    <t>신경계</t>
  </si>
  <si>
    <r>
      <rPr>
        <rFont val="Noto Sans"/>
        <color rgb="FF000000"/>
        <sz val="10.0"/>
      </rPr>
      <t>사지약화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뇌졸중 증상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</si>
  <si>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</si>
  <si>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>, GCS</t>
    </r>
  </si>
  <si>
    <t>GCS, SPO2, grade, mmHg, motor</t>
  </si>
  <si>
    <r>
      <rPr>
        <rFont val="Arial"/>
        <color rgb="FF000000"/>
        <sz val="10.0"/>
      </rPr>
      <t xml:space="preserve">GCS, SPO2, mmHg, </t>
    </r>
    <r>
      <rPr>
        <rFont val="Noto Sans CJK SC"/>
        <color rgb="FF000000"/>
        <sz val="10.0"/>
      </rPr>
      <t>감각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고지혈증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고혈압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근력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외상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지혈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</si>
  <si>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148.m4a</t>
  </si>
  <si>
    <t>발작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</si>
  <si>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</si>
  <si>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>, GCS</t>
    </r>
  </si>
  <si>
    <t>GCS, SPO2, mmHg, stupor</t>
  </si>
  <si>
    <r>
      <rPr>
        <rFont val="Arial"/>
        <color rgb="FF000000"/>
        <sz val="10.0"/>
      </rPr>
      <t xml:space="preserve">GCS, SPO2, mmHg, </t>
    </r>
    <r>
      <rPr>
        <rFont val="Noto Sans CJK SC"/>
        <color rgb="FF000000"/>
        <sz val="10.0"/>
      </rPr>
      <t>경련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기면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발작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의식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</si>
  <si>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152.m4a</t>
  </si>
  <si>
    <t>심혈관계</t>
  </si>
  <si>
    <r>
      <rPr>
        <rFont val="Noto Sans"/>
        <color rgb="FF000000"/>
        <sz val="10.0"/>
      </rPr>
      <t>흉통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심장성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</si>
  <si>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</si>
  <si>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</si>
  <si>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NRS, SPO2, mmHg, </t>
    </r>
    <r>
      <rPr>
        <rFont val="Noto Sans CJK SC"/>
        <color rgb="FF000000"/>
        <sz val="10.0"/>
      </rPr>
      <t>가슴통증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고혈압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호흡곤란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</si>
  <si>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158.m4a</t>
  </si>
  <si>
    <t>호흡기계</t>
  </si>
  <si>
    <t>알레르기반응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</si>
  <si>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미만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</si>
  <si>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</si>
  <si>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t>N</t>
  </si>
  <si>
    <r>
      <rPr>
        <rFont val="Arial"/>
        <color rgb="FF000000"/>
        <sz val="10.0"/>
      </rPr>
      <t xml:space="preserve">SPO2, mmHg,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발진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쌕쌕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알러지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</si>
  <si>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160.m4a</t>
  </si>
  <si>
    <r>
      <rPr>
        <rFont val="Noto Sans"/>
        <color rgb="FF000000"/>
        <sz val="10.0"/>
      </rPr>
      <t>임신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여성생식계</t>
    </r>
  </si>
  <si>
    <r>
      <rPr>
        <rFont val="Arial"/>
        <color rgb="FF000000"/>
        <sz val="10.0"/>
      </rPr>
      <t>20</t>
    </r>
    <r>
      <rPr>
        <rFont val="Noto Sans CJK SC"/>
        <color rgb="FF000000"/>
        <sz val="10.0"/>
      </rPr>
      <t>주 이상의 임신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</si>
  <si>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</si>
  <si>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</si>
  <si>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SPO2, mmHg,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양수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외상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임신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질출혈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출혈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태동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</si>
  <si>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166.m4a</t>
  </si>
  <si>
    <t>소화기계</t>
  </si>
  <si>
    <t>복통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</si>
  <si>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</si>
  <si>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</si>
  <si>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NRS, SPO2, mmHg, </t>
    </r>
    <r>
      <rPr>
        <rFont val="Noto Sans CJK SC"/>
        <color rgb="FF000000"/>
        <sz val="10.0"/>
      </rPr>
      <t>구토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설사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</si>
  <si>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176.m4a</t>
  </si>
  <si>
    <t>환경손상</t>
  </si>
  <si>
    <t>전기손상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</si>
  <si>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</si>
  <si>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</si>
  <si>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t>NRS, SPO2, V/S, mmHg</t>
  </si>
  <si>
    <r>
      <rPr>
        <rFont val="Arial"/>
        <color rgb="FF000000"/>
        <sz val="10.0"/>
      </rPr>
      <t xml:space="preserve">NRS, SPO2, V/S, mmHg, </t>
    </r>
    <r>
      <rPr>
        <rFont val="Noto Sans CJK SC"/>
        <color rgb="FF000000"/>
        <sz val="10.0"/>
      </rPr>
      <t>감각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경련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화상</t>
    </r>
  </si>
  <si>
    <t>183.m4a</t>
  </si>
  <si>
    <t>눈</t>
  </si>
  <si>
    <t>눈통증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</si>
  <si>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</si>
  <si>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</si>
  <si>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NRS, SPO2, mmHg,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시야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외상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</si>
  <si>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205.m4a</t>
  </si>
  <si>
    <r>
      <rPr>
        <rFont val="Noto Sans"/>
        <color rgb="FF000000"/>
        <sz val="10.0"/>
      </rPr>
      <t>다리 부기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부종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</si>
  <si>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</si>
  <si>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</si>
  <si>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SPO2, mmHg,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부종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약물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</si>
  <si>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218.m4a</t>
  </si>
  <si>
    <t>두통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</si>
  <si>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</si>
  <si>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</si>
  <si>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t>GCS, NRS, SPO2, mmHg</t>
  </si>
  <si>
    <r>
      <rPr>
        <rFont val="Arial"/>
        <color rgb="FF000000"/>
        <sz val="10.0"/>
      </rPr>
      <t xml:space="preserve">GCS, NRS, SPO2, mmHg,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두통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메스꺼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외상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</si>
  <si>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221.m4a</t>
  </si>
  <si>
    <r>
      <rPr>
        <rFont val="Noto Sans"/>
        <color rgb="FF000000"/>
        <sz val="10.0"/>
      </rPr>
      <t>비뇨기계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남성생식계</t>
    </r>
  </si>
  <si>
    <t>요로감염 증상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</si>
  <si>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</si>
  <si>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</si>
  <si>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NRS, SPO2, mmHg,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생리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소변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</si>
  <si>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234.m4a</t>
  </si>
  <si>
    <t>식욕부진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</si>
  <si>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</si>
  <si>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</si>
  <si>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t>SPO2, kg, mmHg</t>
  </si>
  <si>
    <r>
      <rPr>
        <rFont val="Arial"/>
        <color rgb="FF000000"/>
        <sz val="10.0"/>
      </rPr>
      <t xml:space="preserve">SPO2, mmHg, </t>
    </r>
    <r>
      <rPr>
        <rFont val="Noto Sans CJK SC"/>
        <color rgb="FF000000"/>
        <sz val="10.0"/>
      </rPr>
      <t>고혈압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구토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당뇨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당뇨약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보행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설사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저림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혈압약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</si>
  <si>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263.m4a</t>
  </si>
  <si>
    <r>
      <rPr>
        <rFont val="Noto Sans"/>
        <color rgb="FF000000"/>
        <sz val="10.0"/>
      </rPr>
      <t>이물질 삼킴</t>
    </r>
    <r>
      <rPr>
        <rFont val="Arial"/>
        <color rgb="FF000000"/>
        <sz val="10.0"/>
      </rPr>
      <t>(Foreign Body swallowing)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</si>
  <si>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</si>
  <si>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</si>
  <si>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NRS, SPO2, mmHg,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이물감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</si>
  <si>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264.m4a</t>
  </si>
  <si>
    <t>정신건강</t>
  </si>
  <si>
    <r>
      <rPr>
        <rFont val="Noto Sans"/>
        <color rgb="FF000000"/>
        <sz val="10.0"/>
      </rPr>
      <t>불안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위기상황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</si>
  <si>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</si>
  <si>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</si>
  <si>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SPO2, mmHg, </t>
    </r>
    <r>
      <rPr>
        <rFont val="Noto Sans CJK SC"/>
        <color rgb="FF000000"/>
        <sz val="10.0"/>
      </rPr>
      <t>공황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발작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처방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</si>
  <si>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281.m4a</t>
  </si>
  <si>
    <r>
      <rPr>
        <rFont val="Noto Sans"/>
        <color rgb="FF000000"/>
        <sz val="10.0"/>
      </rPr>
      <t>임신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여성생식계</t>
    </r>
  </si>
  <si>
    <t>질출혈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</si>
  <si>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</si>
  <si>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</si>
  <si>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NRS, SPO2, mmHg,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생리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월경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질출혈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출혈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</si>
  <si>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316.m4a</t>
  </si>
  <si>
    <t>일반</t>
  </si>
  <si>
    <t>열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</si>
  <si>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미만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</si>
  <si>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</si>
  <si>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SPO2, mmHg,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발열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발진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</si>
  <si>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353.m4a</t>
  </si>
  <si>
    <t>귀</t>
  </si>
  <si>
    <t>이명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</si>
  <si>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미만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</si>
  <si>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</si>
  <si>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SPO2, mmHg, </t>
    </r>
    <r>
      <rPr>
        <rFont val="Noto Sans CJK SC"/>
        <color rgb="FF000000"/>
        <sz val="10.0"/>
      </rPr>
      <t>고열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두통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메스꺼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외상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청력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</si>
  <si>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481.m4a</t>
  </si>
  <si>
    <t>상지 통증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</si>
  <si>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</si>
  <si>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</si>
  <si>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NRS, SPO2, mmHg,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</si>
  <si>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503.m4a</t>
  </si>
  <si>
    <t>전신쇠약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</si>
  <si>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</si>
  <si>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t>보호자</t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</si>
  <si>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</si>
  <si>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mmHg,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소변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</si>
  <si>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508.m4a</t>
  </si>
  <si>
    <r>
      <rPr>
        <rFont val="Noto Sans"/>
        <color rgb="FF000000"/>
        <sz val="10.0"/>
      </rPr>
      <t>감각상실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이상감각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</si>
  <si>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</si>
  <si>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t>환자</t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</si>
  <si>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</si>
  <si>
    <r>
      <rPr>
        <rFont val="Arial"/>
        <color rgb="FF000000"/>
        <sz val="10.0"/>
      </rPr>
      <t xml:space="preserve">mmHg, </t>
    </r>
    <r>
      <rPr>
        <rFont val="Noto Sans CJK SC"/>
        <color rgb="FF000000"/>
        <sz val="10.0"/>
      </rPr>
      <t>감각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당뇨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</si>
  <si>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520.m4a</t>
  </si>
  <si>
    <t>고혈압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</si>
  <si>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</si>
  <si>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</si>
  <si>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가슴통증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고혈압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두통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투석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혈압약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</si>
  <si>
    <t>529.m4a</t>
  </si>
  <si>
    <t>유해물질흡입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</si>
  <si>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</si>
  <si>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</si>
  <si>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기침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</si>
  <si>
    <t>530.m4a</t>
  </si>
  <si>
    <t>토혈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</si>
  <si>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미만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</si>
  <si>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</si>
  <si>
    <r>
      <rPr>
        <rFont val="Arial"/>
        <color rgb="FF000000"/>
        <sz val="10.0"/>
      </rPr>
      <t xml:space="preserve">mmHg, </t>
    </r>
    <r>
      <rPr>
        <rFont val="Noto Sans CJK SC"/>
        <color rgb="FF000000"/>
        <sz val="10.0"/>
      </rPr>
      <t>구토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의식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</si>
  <si>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533.m4a</t>
  </si>
  <si>
    <r>
      <rPr>
        <rFont val="Noto Sans"/>
        <color rgb="FF000000"/>
        <sz val="10.0"/>
      </rPr>
      <t>흉통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비심장성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</si>
  <si>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미만</t>
    </r>
  </si>
  <si>
    <r>
      <rPr>
        <rFont val="Noto Sans"/>
        <color rgb="FF000000"/>
        <sz val="10.0"/>
      </rPr>
      <t>보호자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환자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</si>
  <si>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</si>
  <si>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SPO2, mmHg,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</si>
  <si>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568.m4a</t>
  </si>
  <si>
    <t>숨참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</si>
  <si>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</si>
  <si>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</si>
  <si>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t>Mental, V/S, mmHg</t>
  </si>
  <si>
    <r>
      <rPr>
        <rFont val="Arial"/>
        <color rgb="FF000000"/>
        <sz val="10.0"/>
      </rPr>
      <t xml:space="preserve">V/S, mmHg,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구음장애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마비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명료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보행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의식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편마비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호흡곤란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</si>
  <si>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585.m4a</t>
  </si>
  <si>
    <r>
      <rPr>
        <rFont val="Noto Sans"/>
        <color rgb="FF000000"/>
        <sz val="10.0"/>
      </rPr>
      <t>심계항진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불규칙한 심장박동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</si>
  <si>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</si>
  <si>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</si>
  <si>
    <t>V/S, mmHg</t>
  </si>
  <si>
    <r>
      <rPr>
        <rFont val="Arial"/>
        <color rgb="FF000000"/>
        <sz val="10.0"/>
      </rPr>
      <t xml:space="preserve">V/S, mmHg,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흉통</t>
    </r>
  </si>
  <si>
    <t>625.m4a</t>
  </si>
  <si>
    <t>하지 손상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</si>
  <si>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</si>
  <si>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</si>
  <si>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t>NRS, V/S, mmHg</t>
  </si>
  <si>
    <r>
      <rPr>
        <rFont val="Arial"/>
        <color rgb="FF000000"/>
        <sz val="10.0"/>
      </rPr>
      <t xml:space="preserve">NRS, V/S, mmHg, </t>
    </r>
    <r>
      <rPr>
        <rFont val="Noto Sans CJK SC"/>
        <color rgb="FF000000"/>
        <sz val="10.0"/>
      </rPr>
      <t>감각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골절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</si>
  <si>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629.m4a</t>
  </si>
  <si>
    <r>
      <rPr>
        <rFont val="Noto Sans"/>
        <color rgb="FF000000"/>
        <sz val="10.0"/>
      </rPr>
      <t>비뇨기계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남성생식계</t>
    </r>
  </si>
  <si>
    <t>혈뇨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</si>
  <si>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</si>
  <si>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</si>
  <si>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V/S, mmHg, </t>
    </r>
    <r>
      <rPr>
        <rFont val="Noto Sans CJK SC"/>
        <color rgb="FF000000"/>
        <sz val="10.0"/>
      </rPr>
      <t>과거력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소변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약물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어지럼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옆구리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와파린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</si>
  <si>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679.m4a</t>
  </si>
  <si>
    <t>몸통외상</t>
  </si>
  <si>
    <r>
      <rPr>
        <rFont val="Noto Sans"/>
        <color rgb="FF000000"/>
        <sz val="10.0"/>
      </rPr>
      <t>단독 복부외상</t>
    </r>
    <r>
      <rPr>
        <rFont val="Arial"/>
        <color rgb="FF000000"/>
        <sz val="10.0"/>
      </rPr>
      <t>-</t>
    </r>
    <r>
      <rPr>
        <rFont val="Noto Sans CJK SC"/>
        <color rgb="FF000000"/>
        <sz val="10.0"/>
      </rPr>
      <t>둔상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</si>
  <si>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</si>
  <si>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Arial"/>
        <color rgb="FF000000"/>
        <sz val="10.0"/>
      </rPr>
      <t>119</t>
    </r>
    <r>
      <rPr>
        <rFont val="Noto Sans CJK SC"/>
        <color rgb="FF000000"/>
        <sz val="10.0"/>
      </rPr>
      <t>대원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환자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</si>
  <si>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</si>
  <si>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Arial"/>
        <color rgb="FF000000"/>
        <sz val="10.0"/>
      </rPr>
      <t xml:space="preserve">mmHg,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외상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출혈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</si>
  <si>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681.m4a</t>
  </si>
  <si>
    <t>의식수준의 변화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</si>
  <si>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</si>
  <si>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</si>
  <si>
    <r>
      <rPr>
        <rFont val="Noto Sans"/>
        <color rgb="FF000000"/>
        <sz val="10.0"/>
      </rPr>
      <t>경련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뇌졸중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의식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</si>
  <si>
    <t>683.m4a</t>
  </si>
  <si>
    <r>
      <rPr>
        <rFont val="Noto Sans"/>
        <color rgb="FF000000"/>
        <sz val="10.0"/>
      </rPr>
      <t>실신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전실신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</si>
  <si>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</si>
  <si>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Arial"/>
        <color rgb="FF000000"/>
        <sz val="10.0"/>
      </rPr>
      <t>119</t>
    </r>
    <r>
      <rPr>
        <rFont val="Noto Sans CJK SC"/>
        <color rgb="FF000000"/>
        <sz val="10.0"/>
      </rPr>
      <t>대원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환자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</si>
  <si>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</si>
  <si>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가슴통증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수액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실신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어지럼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</si>
  <si>
    <t>684.m4a</t>
  </si>
  <si>
    <t>온열손상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</si>
  <si>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</si>
  <si>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</si>
  <si>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기저질환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의식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</si>
  <si>
    <t>686.m4a</t>
  </si>
  <si>
    <t>물질오용</t>
  </si>
  <si>
    <t>물질금단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</si>
  <si>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</si>
  <si>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</si>
  <si>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간경화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경련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</si>
  <si>
    <t>687.m4a</t>
  </si>
  <si>
    <r>
      <rPr>
        <rFont val="Noto Sans"/>
        <color rgb="FF000000"/>
        <sz val="10.0"/>
      </rPr>
      <t>폭력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살인행위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</si>
  <si>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</si>
  <si>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가족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환자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</si>
  <si>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</si>
  <si>
    <r>
      <rPr>
        <rFont val="Noto Sans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</si>
  <si>
    <t>693.m4a</t>
  </si>
  <si>
    <r>
      <rPr>
        <rFont val="Noto Sans"/>
        <color rgb="FF000000"/>
        <sz val="10.0"/>
      </rPr>
      <t>몸통을 포함한 다발성 외상</t>
    </r>
    <r>
      <rPr>
        <rFont val="Arial"/>
        <color rgb="FF000000"/>
        <sz val="10.0"/>
      </rPr>
      <t>-</t>
    </r>
    <r>
      <rPr>
        <rFont val="Noto Sans CJK SC"/>
        <color rgb="FF000000"/>
        <sz val="10.0"/>
      </rPr>
      <t>둔상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</si>
  <si>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미만</t>
    </r>
  </si>
  <si>
    <r>
      <rPr>
        <rFont val="Noto Sans"/>
        <color rgb="FF000000"/>
        <sz val="10.0"/>
      </rPr>
      <t>보호자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환자</t>
    </r>
  </si>
  <si>
    <r>
      <rPr>
        <rFont val="Noto Sans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</si>
  <si>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</si>
  <si>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698.m4a</t>
  </si>
  <si>
    <t>코</t>
  </si>
  <si>
    <t>코막힘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</si>
  <si>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</si>
  <si>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</si>
  <si>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</si>
  <si>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699.m4a</t>
  </si>
  <si>
    <t>귀의 이물질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</si>
  <si>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</si>
  <si>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</si>
  <si>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청력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</si>
  <si>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700.m4a</t>
  </si>
  <si>
    <t>귀의 손상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</si>
  <si>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</si>
  <si>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</si>
  <si>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출혈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</si>
  <si>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703.m4a</t>
  </si>
  <si>
    <t>직장내 이물질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</si>
  <si>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</si>
  <si>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</si>
  <si>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출혈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</si>
  <si>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704.m4a</t>
  </si>
  <si>
    <r>
      <rPr>
        <rFont val="Noto Sans"/>
        <color rgb="FF000000"/>
        <sz val="10.0"/>
      </rPr>
      <t>샅고랑부위</t>
    </r>
    <r>
      <rPr>
        <rFont val="Arial"/>
        <color rgb="FF000000"/>
        <sz val="10.0"/>
      </rPr>
      <t>(Groin)</t>
    </r>
    <r>
      <rPr>
        <rFont val="Noto Sans CJK SC"/>
        <color rgb="FF000000"/>
        <sz val="10.0"/>
      </rPr>
      <t>통증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종괴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</si>
  <si>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</si>
  <si>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</si>
  <si>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</si>
  <si>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t>707.m4a</t>
  </si>
  <si>
    <r>
      <rPr>
        <rFont val="Noto Sans"/>
        <color rgb="FF000000"/>
        <sz val="10.0"/>
      </rPr>
      <t>복부종괴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팽만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</si>
  <si>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</si>
  <si>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</si>
  <si>
    <r>
      <rPr>
        <rFont val="Noto Sans"/>
        <color rgb="FF000000"/>
        <sz val="10.0"/>
      </rPr>
      <t>구토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</si>
  <si>
    <t>708.m4a</t>
  </si>
  <si>
    <r>
      <rPr>
        <rFont val="Noto Sans"/>
        <color rgb="FF000000"/>
        <sz val="10.0"/>
      </rPr>
      <t>임신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여성생식계</t>
    </r>
  </si>
  <si>
    <t>질내 이물질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</si>
  <si>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</si>
  <si>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</si>
  <si>
    <r>
      <rPr>
        <rFont val="Noto Sans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복통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출혈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</si>
  <si>
    <t>709.m4a</t>
  </si>
  <si>
    <r>
      <rPr>
        <rFont val="Noto Sans"/>
        <color rgb="FF000000"/>
        <sz val="10.0"/>
      </rPr>
      <t>임신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여성생식계</t>
    </r>
  </si>
  <si>
    <t>음순부종</t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</si>
  <si>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</si>
  <si>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</si>
  <si>
    <r>
      <rPr>
        <rFont val="Noto Sans"/>
        <color rgb="FF000000"/>
        <sz val="10.0"/>
      </rPr>
      <t>가려움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부종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출혈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</si>
  <si>
    <t>717.m4a</t>
  </si>
  <si>
    <r>
      <rPr>
        <rFont val="Noto Sans"/>
        <color rgb="FF000000"/>
        <sz val="10.0"/>
      </rPr>
      <t>유방의 발적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압통</t>
    </r>
  </si>
  <si>
    <r>
      <rPr>
        <rFont val="Arial"/>
        <color rgb="FF000000"/>
        <sz val="10.0"/>
      </rPr>
      <t>15</t>
    </r>
    <r>
      <rPr>
        <rFont val="Noto Sans CJK SC"/>
        <color rgb="FF000000"/>
        <sz val="10.0"/>
      </rPr>
      <t>세 이상</t>
    </r>
  </si>
  <si>
    <r>
      <rPr>
        <rFont val="Noto Sans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</si>
  <si>
    <r>
      <rPr>
        <rFont val="Noto Sans"/>
        <color rgb="FF000000"/>
        <sz val="10.0"/>
      </rPr>
      <t>맥박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산소포화도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체온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혈압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호흡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활력징후</t>
    </r>
  </si>
  <si>
    <r>
      <rPr>
        <rFont val="Noto Sans"/>
        <i/>
        <color rgb="FF595959"/>
        <sz val="9.0"/>
      </rPr>
      <t>※ 녹음 길이</t>
    </r>
    <r>
      <rPr>
        <rFont val="Arial"/>
        <i/>
        <color rgb="FF595959"/>
        <sz val="9.0"/>
      </rPr>
      <t xml:space="preserve">: </t>
    </r>
    <r>
      <rPr>
        <rFont val="Noto Sans CJK SC"/>
        <i/>
        <color rgb="FF595959"/>
        <sz val="9.0"/>
      </rPr>
      <t>소리</t>
    </r>
    <r>
      <rPr>
        <rFont val="Arial"/>
        <i/>
        <color rgb="FF595959"/>
        <sz val="9.0"/>
      </rPr>
      <t>_</t>
    </r>
    <r>
      <rPr>
        <rFont val="Noto Sans CJK SC"/>
        <i/>
        <color rgb="FF595959"/>
        <sz val="9.0"/>
      </rPr>
      <t>녹음</t>
    </r>
    <r>
      <rPr>
        <rFont val="Arial"/>
        <i/>
        <color rgb="FF595959"/>
        <sz val="9.0"/>
      </rPr>
      <t>.zip</t>
    </r>
    <r>
      <rPr>
        <rFont val="Noto Sans CJK SC"/>
        <i/>
        <color rgb="FF595959"/>
        <sz val="9.0"/>
      </rPr>
      <t>의 음성 파일</t>
    </r>
    <r>
      <rPr>
        <rFont val="Arial"/>
        <i/>
        <color rgb="FF595959"/>
        <sz val="9.0"/>
      </rPr>
      <t>(index.m4a)</t>
    </r>
    <r>
      <rPr>
        <rFont val="Noto Sans CJK SC"/>
        <i/>
        <color rgb="FF595959"/>
        <sz val="9.0"/>
      </rPr>
      <t xml:space="preserve">을 </t>
    </r>
    <r>
      <rPr>
        <rFont val="Arial"/>
        <i/>
        <color rgb="FF595959"/>
        <sz val="9.0"/>
      </rPr>
      <t>ffprobe</t>
    </r>
    <r>
      <rPr>
        <rFont val="Noto Sans CJK SC"/>
        <i/>
        <color rgb="FF595959"/>
        <sz val="9.0"/>
      </rPr>
      <t>로 실측한 값</t>
    </r>
    <r>
      <rPr>
        <rFont val="Arial"/>
        <i/>
        <color rgb="FF595959"/>
        <sz val="9.0"/>
      </rPr>
      <t>.</t>
    </r>
  </si>
  <si>
    <r>
      <rPr>
        <rFont val="Noto Sans"/>
        <i/>
        <color rgb="FF595959"/>
        <sz val="9.0"/>
      </rPr>
      <t>※ 낭독본 글자 수</t>
    </r>
    <r>
      <rPr>
        <rFont val="Arial"/>
        <i/>
        <color rgb="FF595959"/>
        <sz val="9.0"/>
      </rPr>
      <t>: STT_</t>
    </r>
    <r>
      <rPr>
        <rFont val="Noto Sans CJK SC"/>
        <i/>
        <color rgb="FF595959"/>
        <sz val="9.0"/>
      </rPr>
      <t>검증셋</t>
    </r>
    <r>
      <rPr>
        <rFont val="Arial"/>
        <i/>
        <color rgb="FF595959"/>
        <sz val="9.0"/>
      </rPr>
      <t>_50_</t>
    </r>
    <r>
      <rPr>
        <rFont val="Noto Sans CJK SC"/>
        <i/>
        <color rgb="FF595959"/>
        <sz val="9.0"/>
      </rPr>
      <t>낭독용</t>
    </r>
    <r>
      <rPr>
        <rFont val="Arial"/>
        <i/>
        <color rgb="FF595959"/>
        <sz val="9.0"/>
      </rPr>
      <t>.csv</t>
    </r>
    <r>
      <rPr>
        <rFont val="Noto Sans CJK SC"/>
        <i/>
        <color rgb="FF595959"/>
        <sz val="9.0"/>
      </rPr>
      <t>의 한글 낭독본에서 화자 태그</t>
    </r>
    <r>
      <rPr>
        <rFont val="Arial"/>
        <i/>
        <color rgb="FF595959"/>
        <sz val="9.0"/>
      </rPr>
      <t>·</t>
    </r>
    <r>
      <rPr>
        <rFont val="Noto Sans CJK SC"/>
        <i/>
        <color rgb="FF595959"/>
        <sz val="9.0"/>
      </rPr>
      <t xml:space="preserve">공백을 뺀 글자 수 </t>
    </r>
    <r>
      <rPr>
        <rFont val="Arial"/>
        <i/>
        <color rgb="FF595959"/>
        <sz val="9.0"/>
      </rPr>
      <t xml:space="preserve">(CER </t>
    </r>
    <r>
      <rPr>
        <rFont val="Noto Sans CJK SC"/>
        <i/>
        <color rgb="FF595959"/>
        <sz val="9.0"/>
      </rPr>
      <t>계산 시 정답 길이</t>
    </r>
    <r>
      <rPr>
        <rFont val="Arial"/>
        <i/>
        <color rgb="FF595959"/>
        <sz val="9.0"/>
      </rPr>
      <t>).</t>
    </r>
  </si>
  <si>
    <r>
      <rPr>
        <rFont val="Noto Sans"/>
        <i/>
        <color rgb="FF595959"/>
        <sz val="9.0"/>
      </rPr>
      <t>※ 의학용어</t>
    </r>
    <r>
      <rPr>
        <rFont val="Arial"/>
        <i/>
        <color rgb="FF595959"/>
        <sz val="9.0"/>
      </rPr>
      <t>·</t>
    </r>
    <r>
      <rPr>
        <rFont val="Noto Sans CJK SC"/>
        <i/>
        <color rgb="FF595959"/>
        <sz val="9.0"/>
      </rPr>
      <t>영문 약어</t>
    </r>
    <r>
      <rPr>
        <rFont val="Arial"/>
        <i/>
        <color rgb="FF595959"/>
        <sz val="9.0"/>
      </rPr>
      <t>·</t>
    </r>
    <r>
      <rPr>
        <rFont val="Noto Sans CJK SC"/>
        <i/>
        <color rgb="FF595959"/>
        <sz val="9.0"/>
      </rPr>
      <t>활력징후 항목</t>
    </r>
    <r>
      <rPr>
        <rFont val="Arial"/>
        <i/>
        <color rgb="FF595959"/>
        <sz val="9.0"/>
      </rPr>
      <t xml:space="preserve">: </t>
    </r>
    <r>
      <rPr>
        <rFont val="Noto Sans CJK SC"/>
        <i/>
        <color rgb="FF595959"/>
        <sz val="9.0"/>
      </rPr>
      <t>원문 대화에서 사전</t>
    </r>
    <r>
      <rPr>
        <rFont val="Arial"/>
        <i/>
        <color rgb="FF595959"/>
        <sz val="9.0"/>
      </rPr>
      <t>/</t>
    </r>
    <r>
      <rPr>
        <rFont val="Noto Sans CJK SC"/>
        <i/>
        <color rgb="FF595959"/>
        <sz val="9.0"/>
      </rPr>
      <t xml:space="preserve">정규식으로 자동 추출한 목록 </t>
    </r>
    <r>
      <rPr>
        <rFont val="Arial"/>
        <i/>
        <color rgb="FF595959"/>
        <sz val="9.0"/>
      </rPr>
      <t>(</t>
    </r>
    <r>
      <rPr>
        <rFont val="Noto Sans CJK SC"/>
        <i/>
        <color rgb="FF595959"/>
        <sz val="9.0"/>
      </rPr>
      <t>의학용어 재현율</t>
    </r>
    <r>
      <rPr>
        <rFont val="Arial"/>
        <i/>
        <color rgb="FF595959"/>
        <sz val="9.0"/>
      </rPr>
      <t>·</t>
    </r>
    <r>
      <rPr>
        <rFont val="Noto Sans CJK SC"/>
        <i/>
        <color rgb="FF595959"/>
        <sz val="9.0"/>
      </rPr>
      <t>수치 정확도 산출용 정답 후보</t>
    </r>
    <r>
      <rPr>
        <rFont val="Arial"/>
        <i/>
        <color rgb="FF595959"/>
        <sz val="9.0"/>
      </rPr>
      <t>).</t>
    </r>
  </si>
  <si>
    <r>
      <rPr>
        <rFont val="Noto Sans"/>
        <i/>
        <color rgb="FF595959"/>
        <sz val="9.0"/>
      </rPr>
      <t>※ 모름류 발화 수</t>
    </r>
    <r>
      <rPr>
        <rFont val="Arial"/>
        <i/>
        <color rgb="FF595959"/>
        <sz val="9.0"/>
      </rPr>
      <t>: "</t>
    </r>
    <r>
      <rPr>
        <rFont val="Noto Sans CJK SC"/>
        <i/>
        <color rgb="FF595959"/>
        <sz val="9.0"/>
      </rPr>
      <t>모릅니다</t>
    </r>
    <r>
      <rPr>
        <rFont val="Arial"/>
        <i/>
        <color rgb="FF595959"/>
        <sz val="9.0"/>
      </rPr>
      <t>/</t>
    </r>
    <r>
      <rPr>
        <rFont val="Noto Sans CJK SC"/>
        <i/>
        <color rgb="FF595959"/>
        <sz val="9.0"/>
      </rPr>
      <t>모르겠어요</t>
    </r>
    <r>
      <rPr>
        <rFont val="Arial"/>
        <i/>
        <color rgb="FF595959"/>
        <sz val="9.0"/>
      </rPr>
      <t xml:space="preserve">" </t>
    </r>
    <r>
      <rPr>
        <rFont val="Noto Sans CJK SC"/>
        <i/>
        <color rgb="FF595959"/>
        <sz val="9.0"/>
      </rPr>
      <t xml:space="preserve">등이 포함된 발화 수 </t>
    </r>
    <r>
      <rPr>
        <rFont val="Arial"/>
        <i/>
        <color rgb="FF595959"/>
        <sz val="9.0"/>
      </rPr>
      <t>(15</t>
    </r>
    <r>
      <rPr>
        <rFont val="Noto Sans CJK SC"/>
        <i/>
        <color rgb="FF595959"/>
        <sz val="9.0"/>
      </rPr>
      <t xml:space="preserve">자 초과의 긴 문장 안에 섞인 경우 </t>
    </r>
    <r>
      <rPr>
        <rFont val="Arial"/>
        <i/>
        <color rgb="FF595959"/>
        <sz val="9.0"/>
      </rPr>
      <t>0.5</t>
    </r>
    <r>
      <rPr>
        <rFont val="Noto Sans CJK SC"/>
        <i/>
        <color rgb="FF595959"/>
        <sz val="9.0"/>
      </rPr>
      <t>로 계산</t>
    </r>
    <r>
      <rPr>
        <rFont val="Arial"/>
        <i/>
        <color rgb="FF595959"/>
        <sz val="9.0"/>
      </rPr>
      <t>).</t>
    </r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</si>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</sst>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rgb="FF000000"/>
      <name val="Calibri"/>
      <scheme val="minor"/>
    </font>
    <font>
      <b/>
      <sz val="10.0"/>
      <color rgb="FFFFFFFF"/>
      <name val="Noto Sans"/>
    </font>
    <font>
      <b/>
      <sz val="14.0"/>
      <color rgb="FF000000"/>
      <name val="Arial"/>
    </font>
    <font>
      <b/>
      <sz val="10.0"/>
      <color rgb="FFFFFFFF"/>
      <name val="Arial"/>
    </font>
    <font>
      <sz val="10.0"/>
      <color rgb="FF595959"/>
      <name val="Noto Sans"/>
    </font>
    <font>
      <b/>
      <sz val="11.0"/>
      <color rgb="FF000000"/>
      <name val="Noto Sans"/>
    </font>
    <font>
      <sz val="10.0"/>
      <color rgb="FF000000"/>
      <name val="Arial"/>
    </font>
    <font>
      <b/>
      <sz val="10.0"/>
      <color rgb="FF000000"/>
      <name val="Noto Sans"/>
    </font>
    <font>
      <sz val="10.0"/>
      <color rgb="FF000000"/>
      <name val="Noto Sans"/>
    </font>
    <font>
      <b/>
      <sz val="11.0"/>
      <color rgb="FF000000"/>
      <name val="Arial"/>
    </font>
    <font>
      <i/>
      <sz val="9.0"/>
      <color rgb="FF595959"/>
      <name val="Noto Sans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horizontal="center" shrinkToFit="0" vertical="top" wrapText="1"/>
    </xf>
    <xf borderId="0" fillId="0" fontId="7" numFmtId="0" xfId="0" applyAlignment="1" applyFont="1">
      <alignment vertical="bottom"/>
    </xf>
    <xf borderId="1" fillId="3" fontId="8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3" fontId="8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9" numFmtId="0" xfId="0" applyAlignment="1" applyFont="1">
      <alignment vertical="bottom"/>
    </xf>
    <xf borderId="1" fillId="0" fontId="6" numFmtId="164" xfId="0" applyAlignment="1" applyBorder="1" applyFont="1" applyNumberFormat="1">
      <alignment horizontal="center" shrinkToFit="0" vertical="top" wrapText="1"/>
    </xf>
    <xf borderId="1" fillId="0" fontId="6" numFmtId="0" xfId="0" applyAlignment="1" applyBorder="1" applyFont="1">
      <alignment horizontal="center" vertical="bottom"/>
    </xf>
    <xf borderId="1" fillId="0" fontId="6" numFmtId="2" xfId="0" applyAlignment="1" applyBorder="1" applyFont="1" applyNumberFormat="1">
      <alignment horizontal="center" shrinkToFit="0" vertical="top" wrapText="1"/>
    </xf>
    <xf borderId="0" fillId="0" fontId="10" numFmtId="0" xfId="0" applyAlignment="1" applyFont="1">
      <alignment vertical="bottom"/>
    </xf>
    <xf borderId="1" fillId="4" fontId="7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8" width="13.0"/>
    <col customWidth="1" min="9" max="9" width="15.0"/>
    <col customWidth="1" min="10" max="26" width="8.71"/>
  </cols>
  <sheetData>
    <row r="1" ht="13.5" customHeight="1">
      <c r="A1" s="2" t="s">
        <v>2</v>
      </c>
    </row>
    <row r="2" ht="13.5" customHeight="1">
      <c r="A2" s="4" t="s">
        <v>8</v>
      </c>
    </row>
    <row r="3" ht="13.5" customHeight="1"/>
    <row r="4" ht="13.5" customHeight="1">
      <c r="A4" s="5" t="s">
        <v>11</v>
      </c>
    </row>
    <row r="5" ht="30.0" customHeight="1">
      <c r="A5" s="7" t="s">
        <v>14</v>
      </c>
      <c r="B5" s="11" t="s">
        <v>24</v>
      </c>
    </row>
    <row r="6" ht="30.0" customHeight="1">
      <c r="A6" s="7" t="s">
        <v>33</v>
      </c>
      <c r="B6" s="15" t="s">
        <v>35</v>
      </c>
    </row>
    <row r="7" ht="13.5" customHeight="1"/>
    <row r="8" ht="13.5" customHeight="1">
      <c r="A8" s="17" t="s">
        <v>42</v>
      </c>
    </row>
    <row r="9" ht="31.5" customHeight="1">
      <c r="A9" s="3" t="s">
        <v>48</v>
      </c>
      <c r="B9" s="1" t="s">
        <v>50</v>
      </c>
      <c r="C9" s="1" t="s">
        <v>51</v>
      </c>
      <c r="D9" s="1" t="s">
        <v>53</v>
      </c>
      <c r="E9" s="1" t="s">
        <v>55</v>
      </c>
      <c r="F9" s="3" t="s">
        <v>57</v>
      </c>
      <c r="G9" s="1" t="s">
        <v>59</v>
      </c>
      <c r="H9" s="1" t="s">
        <v>62</v>
      </c>
      <c r="I9" s="1" t="s">
        <v>64</v>
      </c>
    </row>
    <row r="10" ht="13.5" customHeight="1">
      <c r="A10" s="19">
        <v>1.0</v>
      </c>
      <c r="B10" s="19">
        <f>COUNTIF('선별근거'!$C$2:$C$51,A10)</f>
        <v>10</v>
      </c>
      <c r="C10" s="19">
        <f>ROUND(AVERAGEIF('선별근거'!$C$2:$C$51,A10,'선별근거'!$H$2:$H$51),1)</f>
        <v>8.8</v>
      </c>
      <c r="D10" s="19" t="str">
        <f>MINIFS('선별근거'!$H$2:$H$51,'선별근거'!$C$2:$C$51,A10)&amp;"–"&amp;MAXIFS('선별근거'!$H$2:$H$51,'선별근거'!$C$2:$C$51,A10)</f>
        <v>8–10</v>
      </c>
      <c r="E10" s="19">
        <f>SUMIF('선별근거'!$C$2:$C$51,A10,'선별근거'!$I$2:$I$51)</f>
        <v>159</v>
      </c>
      <c r="F10" s="19">
        <f>COUNTIFS('선별근거'!$C$2:$C$51,A10,'선별근거'!$F$2:$F$51,"15세 미만")</f>
        <v>1</v>
      </c>
      <c r="G10" s="19" t="str">
        <f>COUNTIFS(선별근거!$C$2:$C$51,A10,선별근거!#REF!,"&gt;0")</f>
        <v>#ERROR!</v>
      </c>
      <c r="H10" s="19">
        <f>ROUND(SUMIF('선별근거'!$C$2:$C$51,A10,'선별근거'!$K$2:$K$51)/60,1)</f>
        <v>8.6</v>
      </c>
      <c r="I10" s="19">
        <f>ROUND(SUMIF('선별근거'!$C$2:$C$51,A10,'선별근거'!$J$2:$J$51)/SUMIF('선별근거'!$C$2:$C$51,A10,'선별근거'!$K$2:$K$51),2)</f>
        <v>5.69</v>
      </c>
    </row>
    <row r="11" ht="13.5" customHeight="1">
      <c r="A11" s="19">
        <v>2.0</v>
      </c>
      <c r="B11" s="19">
        <f>COUNTIF('선별근거'!$C$2:$C$51,A11)</f>
        <v>10</v>
      </c>
      <c r="C11" s="19">
        <f>ROUND(AVERAGEIF('선별근거'!$C$2:$C$51,A11,'선별근거'!$H$2:$H$51),1)</f>
        <v>11</v>
      </c>
      <c r="D11" s="19" t="str">
        <f>MINIFS('선별근거'!$H$2:$H$51,'선별근거'!$C$2:$C$51,A11)&amp;"–"&amp;MAXIFS('선별근거'!$H$2:$H$51,'선별근거'!$C$2:$C$51,A11)</f>
        <v>8–14</v>
      </c>
      <c r="E11" s="19">
        <f>SUMIF('선별근거'!$C$2:$C$51,A11,'선별근거'!$I$2:$I$51)</f>
        <v>215</v>
      </c>
      <c r="F11" s="19">
        <f>COUNTIFS('선별근거'!$C$2:$C$51,A11,'선별근거'!$F$2:$F$51,"15세 미만")</f>
        <v>2</v>
      </c>
      <c r="G11" s="19" t="str">
        <f>COUNTIFS(선별근거!$C$2:$C$51,A11,선별근거!#REF!,"&gt;0")</f>
        <v>#ERROR!</v>
      </c>
      <c r="H11" s="19">
        <f>ROUND(SUMIF('선별근거'!$C$2:$C$51,A11,'선별근거'!$K$2:$K$51)/60,1)</f>
        <v>9.8</v>
      </c>
      <c r="I11" s="19">
        <f>ROUND(SUMIF('선별근거'!$C$2:$C$51,A11,'선별근거'!$J$2:$J$51)/SUMIF('선별근거'!$C$2:$C$51,A11,'선별근거'!$K$2:$K$51),2)</f>
        <v>5.22</v>
      </c>
    </row>
    <row r="12" ht="13.5" customHeight="1">
      <c r="A12" s="19">
        <v>3.0</v>
      </c>
      <c r="B12" s="19">
        <f>COUNTIF('선별근거'!$C$2:$C$51,A12)</f>
        <v>10</v>
      </c>
      <c r="C12" s="19">
        <f>ROUND(AVERAGEIF('선별근거'!$C$2:$C$51,A12,'선별근거'!$H$2:$H$51),1)</f>
        <v>11.6</v>
      </c>
      <c r="D12" s="19" t="str">
        <f>MINIFS('선별근거'!$H$2:$H$51,'선별근거'!$C$2:$C$51,A12)&amp;"–"&amp;MAXIFS('선별근거'!$H$2:$H$51,'선별근거'!$C$2:$C$51,A12)</f>
        <v>9–15</v>
      </c>
      <c r="E12" s="19">
        <f>SUMIF('선별근거'!$C$2:$C$51,A12,'선별근거'!$I$2:$I$51)</f>
        <v>228</v>
      </c>
      <c r="F12" s="19">
        <f>COUNTIFS('선별근거'!$C$2:$C$51,A12,'선별근거'!$F$2:$F$51,"15세 미만")</f>
        <v>1</v>
      </c>
      <c r="G12" s="19" t="str">
        <f>COUNTIFS(선별근거!$C$2:$C$51,A12,선별근거!#REF!,"&gt;0")</f>
        <v>#ERROR!</v>
      </c>
      <c r="H12" s="19">
        <f>ROUND(SUMIF('선별근거'!$C$2:$C$51,A12,'선별근거'!$K$2:$K$51)/60,1)</f>
        <v>9.9</v>
      </c>
      <c r="I12" s="19">
        <f>ROUND(SUMIF('선별근거'!$C$2:$C$51,A12,'선별근거'!$J$2:$J$51)/SUMIF('선별근거'!$C$2:$C$51,A12,'선별근거'!$K$2:$K$51),2)</f>
        <v>5.36</v>
      </c>
    </row>
    <row r="13" ht="13.5" customHeight="1">
      <c r="A13" s="19">
        <v>4.0</v>
      </c>
      <c r="B13" s="19">
        <f>COUNTIF('선별근거'!$C$2:$C$51,A13)</f>
        <v>10</v>
      </c>
      <c r="C13" s="19">
        <f>ROUND(AVERAGEIF('선별근거'!$C$2:$C$51,A13,'선별근거'!$H$2:$H$51),1)</f>
        <v>10</v>
      </c>
      <c r="D13" s="19" t="str">
        <f>MINIFS('선별근거'!$H$2:$H$51,'선별근거'!$C$2:$C$51,A13)&amp;"–"&amp;MAXIFS('선별근거'!$H$2:$H$51,'선별근거'!$C$2:$C$51,A13)</f>
        <v>8–12</v>
      </c>
      <c r="E13" s="19">
        <f>SUMIF('선별근거'!$C$2:$C$51,A13,'선별근거'!$I$2:$I$51)</f>
        <v>196</v>
      </c>
      <c r="F13" s="19">
        <f>COUNTIFS('선별근거'!$C$2:$C$51,A13,'선별근거'!$F$2:$F$51,"15세 미만")</f>
        <v>3</v>
      </c>
      <c r="G13" s="19" t="str">
        <f>COUNTIFS(선별근거!$C$2:$C$51,A13,선별근거!#REF!,"&gt;0")</f>
        <v>#ERROR!</v>
      </c>
      <c r="H13" s="19">
        <f>ROUND(SUMIF('선별근거'!$C$2:$C$51,A13,'선별근거'!$K$2:$K$51)/60,1)</f>
        <v>8.6</v>
      </c>
      <c r="I13" s="19">
        <f>ROUND(SUMIF('선별근거'!$C$2:$C$51,A13,'선별근거'!$J$2:$J$51)/SUMIF('선별근거'!$C$2:$C$51,A13,'선별근거'!$K$2:$K$51),2)</f>
        <v>5.27</v>
      </c>
    </row>
    <row r="14" ht="13.5" customHeight="1">
      <c r="A14" s="19">
        <v>5.0</v>
      </c>
      <c r="B14" s="19">
        <f>COUNTIF('선별근거'!$C$2:$C$51,A14)</f>
        <v>10</v>
      </c>
      <c r="C14" s="19">
        <f>ROUND(AVERAGEIF('선별근거'!$C$2:$C$51,A14,'선별근거'!$H$2:$H$51),1)</f>
        <v>8.2</v>
      </c>
      <c r="D14" s="19" t="str">
        <f>MINIFS('선별근거'!$H$2:$H$51,'선별근거'!$C$2:$C$51,A14)&amp;"–"&amp;MAXIFS('선별근거'!$H$2:$H$51,'선별근거'!$C$2:$C$51,A14)</f>
        <v>8–9</v>
      </c>
      <c r="E14" s="19">
        <f>SUMIF('선별근거'!$C$2:$C$51,A14,'선별근거'!$I$2:$I$51)</f>
        <v>141</v>
      </c>
      <c r="F14" s="19">
        <f>COUNTIFS('선별근거'!$C$2:$C$51,A14,'선별근거'!$F$2:$F$51,"15세 미만")</f>
        <v>0</v>
      </c>
      <c r="G14" s="19" t="str">
        <f>COUNTIFS(선별근거!$C$2:$C$51,A14,선별근거!#REF!,"&gt;0")</f>
        <v>#ERROR!</v>
      </c>
      <c r="H14" s="19">
        <f>ROUND(SUMIF('선별근거'!$C$2:$C$51,A14,'선별근거'!$K$2:$K$51)/60,1)</f>
        <v>6.2</v>
      </c>
      <c r="I14" s="19">
        <f>ROUND(SUMIF('선별근거'!$C$2:$C$51,A14,'선별근거'!$J$2:$J$51)/SUMIF('선별근거'!$C$2:$C$51,A14,'선별근거'!$K$2:$K$51),2)</f>
        <v>5.61</v>
      </c>
    </row>
    <row r="15" ht="13.5" customHeight="1">
      <c r="A15" s="22" t="s">
        <v>457</v>
      </c>
      <c r="B15" s="22">
        <f>SUM(B10:B14)</f>
        <v>50</v>
      </c>
      <c r="C15" s="22">
        <f>ROUND(AVERAGE('선별근거'!$H$2:$H$51),1)</f>
        <v>9.9</v>
      </c>
      <c r="D15" s="22" t="str">
        <f>MIN('선별근거'!$H$2:$H$51)&amp;"–"&amp;MAX('선별근거'!$H$2:$H$51)</f>
        <v>8–15</v>
      </c>
      <c r="E15" s="22">
        <f t="shared" ref="E15:G15" si="1">SUM(E10:E14)</f>
        <v>939</v>
      </c>
      <c r="F15" s="22">
        <f t="shared" si="1"/>
        <v>7</v>
      </c>
      <c r="G15" s="22" t="str">
        <f t="shared" si="1"/>
        <v>#ERROR!</v>
      </c>
      <c r="H15" s="22">
        <f>ROUND(SUM('선별근거'!$K$2:$K$51)/60,1)</f>
        <v>43.1</v>
      </c>
      <c r="I15" s="22">
        <f>ROUND(SUM('선별근거'!$J$2:$J$51)/SUM('선별근거'!$K$2:$K$51),2)</f>
        <v>5.41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B5:I5"/>
    <mergeCell ref="B6:I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3" width="12.71"/>
    <col customWidth="1" min="4" max="4" width="14.0"/>
    <col customWidth="1" min="5" max="5" width="20.0"/>
    <col customWidth="1" min="6" max="6" width="9.0"/>
    <col customWidth="1" min="7" max="7" width="13.0"/>
    <col customWidth="1" min="8" max="9" width="7.0"/>
    <col customWidth="1" min="10" max="10" width="11.0"/>
    <col customWidth="1" min="11" max="12" width="10.0"/>
    <col customWidth="1" min="13" max="13" width="26.0"/>
    <col customWidth="1" min="14" max="14" width="10.0"/>
    <col customWidth="1" min="15" max="15" width="8.0"/>
    <col customWidth="1" min="16" max="16" width="22.0"/>
    <col customWidth="1" min="17" max="17" width="45.0"/>
    <col customWidth="1" min="18" max="26" width="8.71"/>
  </cols>
  <sheetData>
    <row r="1" ht="31.5" customHeight="1">
      <c r="A1" s="3" t="s">
        <v>1</v>
      </c>
      <c r="B1" s="1" t="s">
        <v>9</v>
      </c>
      <c r="C1" s="3" t="s">
        <v>12</v>
      </c>
      <c r="D1" s="1" t="s">
        <v>13</v>
      </c>
      <c r="E1" s="1" t="s">
        <v>15</v>
      </c>
      <c r="F1" s="1" t="s">
        <v>16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23</v>
      </c>
      <c r="L1" s="1" t="s">
        <v>26</v>
      </c>
      <c r="M1" s="1" t="s">
        <v>27</v>
      </c>
      <c r="N1" s="1" t="s">
        <v>28</v>
      </c>
      <c r="O1" s="1" t="s">
        <v>30</v>
      </c>
      <c r="P1" s="1" t="s">
        <v>31</v>
      </c>
      <c r="Q1" s="1" t="s">
        <v>32</v>
      </c>
    </row>
    <row r="2" ht="13.5" customHeight="1">
      <c r="A2" s="12">
        <v>0.0</v>
      </c>
      <c r="B2" s="12" t="s">
        <v>34</v>
      </c>
      <c r="C2" s="12">
        <v>2.0</v>
      </c>
      <c r="D2" s="14" t="s">
        <v>36</v>
      </c>
      <c r="E2" s="14" t="s">
        <v>39</v>
      </c>
      <c r="F2" s="12" t="s">
        <v>40</v>
      </c>
      <c r="G2" s="13" t="s">
        <v>43</v>
      </c>
      <c r="H2" s="12">
        <v>13.0</v>
      </c>
      <c r="I2" s="12">
        <v>26.0</v>
      </c>
      <c r="J2" s="12">
        <v>353.0</v>
      </c>
      <c r="K2" s="18">
        <v>70.0</v>
      </c>
      <c r="L2" s="20">
        <f t="shared" ref="L2:L51" si="1">ROUND(J2/K2,2)</f>
        <v>5.04</v>
      </c>
      <c r="M2" s="14" t="s">
        <v>75</v>
      </c>
      <c r="N2" s="12" t="s">
        <v>76</v>
      </c>
      <c r="O2" s="12">
        <v>9.0</v>
      </c>
      <c r="P2" s="16" t="s">
        <v>79</v>
      </c>
      <c r="Q2" s="16" t="s">
        <v>85</v>
      </c>
    </row>
    <row r="3" ht="13.5" customHeight="1">
      <c r="A3" s="12">
        <v>107.0</v>
      </c>
      <c r="B3" s="12" t="s">
        <v>90</v>
      </c>
      <c r="C3" s="12">
        <v>3.0</v>
      </c>
      <c r="D3" s="14" t="s">
        <v>93</v>
      </c>
      <c r="E3" s="14" t="s">
        <v>95</v>
      </c>
      <c r="F3" s="12" t="s">
        <v>97</v>
      </c>
      <c r="G3" s="13" t="s">
        <v>43</v>
      </c>
      <c r="H3" s="12">
        <v>11.0</v>
      </c>
      <c r="I3" s="12">
        <v>22.0</v>
      </c>
      <c r="J3" s="12">
        <v>279.0</v>
      </c>
      <c r="K3" s="18">
        <v>56.6</v>
      </c>
      <c r="L3" s="20">
        <f t="shared" si="1"/>
        <v>4.93</v>
      </c>
      <c r="M3" s="14" t="s">
        <v>106</v>
      </c>
      <c r="N3" s="12" t="s">
        <v>76</v>
      </c>
      <c r="O3" s="12">
        <v>9.0</v>
      </c>
      <c r="P3" s="16" t="s">
        <v>110</v>
      </c>
      <c r="Q3" s="16" t="s">
        <v>115</v>
      </c>
    </row>
    <row r="4" ht="13.5" customHeight="1">
      <c r="A4" s="12">
        <v>112.0</v>
      </c>
      <c r="B4" s="12" t="s">
        <v>119</v>
      </c>
      <c r="C4" s="12">
        <v>3.0</v>
      </c>
      <c r="D4" s="14" t="s">
        <v>36</v>
      </c>
      <c r="E4" s="14" t="s">
        <v>123</v>
      </c>
      <c r="F4" s="12" t="s">
        <v>125</v>
      </c>
      <c r="G4" s="13" t="s">
        <v>43</v>
      </c>
      <c r="H4" s="12">
        <v>15.0</v>
      </c>
      <c r="I4" s="12">
        <v>30.0</v>
      </c>
      <c r="J4" s="12">
        <v>353.0</v>
      </c>
      <c r="K4" s="18">
        <v>72.0</v>
      </c>
      <c r="L4" s="20">
        <f t="shared" si="1"/>
        <v>4.9</v>
      </c>
      <c r="M4" s="14" t="s">
        <v>131</v>
      </c>
      <c r="N4" s="12" t="s">
        <v>76</v>
      </c>
      <c r="O4" s="12">
        <v>13.0</v>
      </c>
      <c r="P4" s="16" t="s">
        <v>134</v>
      </c>
      <c r="Q4" s="16" t="s">
        <v>138</v>
      </c>
    </row>
    <row r="5" ht="13.5" customHeight="1">
      <c r="A5" s="12">
        <v>126.0</v>
      </c>
      <c r="B5" s="12" t="s">
        <v>140</v>
      </c>
      <c r="C5" s="12">
        <v>4.0</v>
      </c>
      <c r="D5" s="14" t="s">
        <v>143</v>
      </c>
      <c r="E5" s="14" t="s">
        <v>145</v>
      </c>
      <c r="F5" s="12" t="s">
        <v>146</v>
      </c>
      <c r="G5" s="13" t="s">
        <v>43</v>
      </c>
      <c r="H5" s="12">
        <v>10.0</v>
      </c>
      <c r="I5" s="12">
        <v>20.0</v>
      </c>
      <c r="J5" s="12">
        <v>218.0</v>
      </c>
      <c r="K5" s="18">
        <v>45.8</v>
      </c>
      <c r="L5" s="20">
        <f t="shared" si="1"/>
        <v>4.76</v>
      </c>
      <c r="M5" s="14" t="s">
        <v>152</v>
      </c>
      <c r="N5" s="12" t="s">
        <v>76</v>
      </c>
      <c r="O5" s="12">
        <v>9.0</v>
      </c>
      <c r="P5" s="16" t="s">
        <v>154</v>
      </c>
      <c r="Q5" s="16" t="s">
        <v>158</v>
      </c>
    </row>
    <row r="6" ht="13.5" customHeight="1">
      <c r="A6" s="12">
        <v>128.0</v>
      </c>
      <c r="B6" s="12" t="s">
        <v>161</v>
      </c>
      <c r="C6" s="12">
        <v>4.0</v>
      </c>
      <c r="D6" s="14" t="s">
        <v>163</v>
      </c>
      <c r="E6" s="14" t="s">
        <v>165</v>
      </c>
      <c r="F6" s="12" t="s">
        <v>166</v>
      </c>
      <c r="G6" s="13" t="s">
        <v>43</v>
      </c>
      <c r="H6" s="12">
        <v>12.0</v>
      </c>
      <c r="I6" s="12">
        <v>24.0</v>
      </c>
      <c r="J6" s="12">
        <v>251.0</v>
      </c>
      <c r="K6" s="18">
        <v>52.9</v>
      </c>
      <c r="L6" s="20">
        <f t="shared" si="1"/>
        <v>4.74</v>
      </c>
      <c r="M6" s="14" t="s">
        <v>170</v>
      </c>
      <c r="N6" s="12" t="s">
        <v>76</v>
      </c>
      <c r="O6" s="12">
        <v>11.0</v>
      </c>
      <c r="P6" s="16" t="s">
        <v>173</v>
      </c>
      <c r="Q6" s="16" t="s">
        <v>179</v>
      </c>
    </row>
    <row r="7" ht="13.5" customHeight="1">
      <c r="A7" s="12">
        <v>140.0</v>
      </c>
      <c r="B7" s="12" t="s">
        <v>183</v>
      </c>
      <c r="C7" s="12">
        <v>4.0</v>
      </c>
      <c r="D7" s="14" t="s">
        <v>36</v>
      </c>
      <c r="E7" s="14" t="s">
        <v>185</v>
      </c>
      <c r="F7" s="12" t="s">
        <v>186</v>
      </c>
      <c r="G7" s="13" t="s">
        <v>43</v>
      </c>
      <c r="H7" s="12">
        <v>12.0</v>
      </c>
      <c r="I7" s="12">
        <v>24.0</v>
      </c>
      <c r="J7" s="12">
        <v>328.0</v>
      </c>
      <c r="K7" s="18">
        <v>64.4</v>
      </c>
      <c r="L7" s="20">
        <f t="shared" si="1"/>
        <v>5.09</v>
      </c>
      <c r="M7" s="14" t="s">
        <v>193</v>
      </c>
      <c r="N7" s="12" t="s">
        <v>76</v>
      </c>
      <c r="O7" s="12">
        <v>10.0</v>
      </c>
      <c r="P7" s="16" t="s">
        <v>195</v>
      </c>
      <c r="Q7" s="16" t="s">
        <v>198</v>
      </c>
    </row>
    <row r="8" ht="13.5" customHeight="1">
      <c r="A8" s="12">
        <v>146.0</v>
      </c>
      <c r="B8" s="12" t="s">
        <v>199</v>
      </c>
      <c r="C8" s="12">
        <v>2.0</v>
      </c>
      <c r="D8" s="14" t="s">
        <v>200</v>
      </c>
      <c r="E8" s="14" t="s">
        <v>201</v>
      </c>
      <c r="F8" s="12" t="s">
        <v>202</v>
      </c>
      <c r="G8" s="13" t="s">
        <v>43</v>
      </c>
      <c r="H8" s="12">
        <v>14.0</v>
      </c>
      <c r="I8" s="12">
        <v>28.0</v>
      </c>
      <c r="J8" s="12">
        <v>380.0</v>
      </c>
      <c r="K8" s="18">
        <v>74.4</v>
      </c>
      <c r="L8" s="20">
        <f t="shared" si="1"/>
        <v>5.11</v>
      </c>
      <c r="M8" s="14" t="s">
        <v>203</v>
      </c>
      <c r="N8" s="12" t="s">
        <v>76</v>
      </c>
      <c r="O8" s="12">
        <v>14.0</v>
      </c>
      <c r="P8" s="16" t="s">
        <v>204</v>
      </c>
      <c r="Q8" s="16" t="s">
        <v>205</v>
      </c>
    </row>
    <row r="9" ht="13.5" customHeight="1">
      <c r="A9" s="12">
        <v>148.0</v>
      </c>
      <c r="B9" s="12" t="s">
        <v>206</v>
      </c>
      <c r="C9" s="12">
        <v>2.0</v>
      </c>
      <c r="D9" s="14" t="s">
        <v>200</v>
      </c>
      <c r="E9" s="14" t="s">
        <v>207</v>
      </c>
      <c r="F9" s="12" t="s">
        <v>208</v>
      </c>
      <c r="G9" s="13" t="s">
        <v>43</v>
      </c>
      <c r="H9" s="12">
        <v>9.0</v>
      </c>
      <c r="I9" s="12">
        <v>18.0</v>
      </c>
      <c r="J9" s="12">
        <v>269.0</v>
      </c>
      <c r="K9" s="18">
        <v>54.4</v>
      </c>
      <c r="L9" s="20">
        <f t="shared" si="1"/>
        <v>4.94</v>
      </c>
      <c r="M9" s="14" t="s">
        <v>209</v>
      </c>
      <c r="N9" s="12" t="s">
        <v>76</v>
      </c>
      <c r="O9" s="12">
        <v>9.0</v>
      </c>
      <c r="P9" s="16" t="s">
        <v>210</v>
      </c>
      <c r="Q9" s="16" t="s">
        <v>211</v>
      </c>
    </row>
    <row r="10" ht="13.5" customHeight="1">
      <c r="A10" s="12">
        <v>152.0</v>
      </c>
      <c r="B10" s="12" t="s">
        <v>212</v>
      </c>
      <c r="C10" s="12">
        <v>2.0</v>
      </c>
      <c r="D10" s="14" t="s">
        <v>213</v>
      </c>
      <c r="E10" s="14" t="s">
        <v>214</v>
      </c>
      <c r="F10" s="12" t="s">
        <v>215</v>
      </c>
      <c r="G10" s="13" t="s">
        <v>43</v>
      </c>
      <c r="H10" s="12">
        <v>13.0</v>
      </c>
      <c r="I10" s="12">
        <v>26.0</v>
      </c>
      <c r="J10" s="12">
        <v>338.0</v>
      </c>
      <c r="K10" s="18">
        <v>67.0</v>
      </c>
      <c r="L10" s="20">
        <f t="shared" si="1"/>
        <v>5.04</v>
      </c>
      <c r="M10" s="14" t="s">
        <v>216</v>
      </c>
      <c r="N10" s="12" t="s">
        <v>76</v>
      </c>
      <c r="O10" s="12">
        <v>10.0</v>
      </c>
      <c r="P10" s="16" t="s">
        <v>195</v>
      </c>
      <c r="Q10" s="16" t="s">
        <v>217</v>
      </c>
    </row>
    <row r="11" ht="13.5" customHeight="1">
      <c r="A11" s="12">
        <v>158.0</v>
      </c>
      <c r="B11" s="12" t="s">
        <v>218</v>
      </c>
      <c r="C11" s="12">
        <v>2.0</v>
      </c>
      <c r="D11" s="14" t="s">
        <v>219</v>
      </c>
      <c r="E11" s="14" t="s">
        <v>220</v>
      </c>
      <c r="F11" s="12" t="s">
        <v>221</v>
      </c>
      <c r="G11" s="13" t="s">
        <v>43</v>
      </c>
      <c r="H11" s="12">
        <v>10.0</v>
      </c>
      <c r="I11" s="12">
        <v>20.0</v>
      </c>
      <c r="J11" s="12">
        <v>255.0</v>
      </c>
      <c r="K11" s="18">
        <v>50.0</v>
      </c>
      <c r="L11" s="20">
        <f t="shared" si="1"/>
        <v>5.1</v>
      </c>
      <c r="M11" s="14" t="s">
        <v>222</v>
      </c>
      <c r="N11" s="12" t="s">
        <v>223</v>
      </c>
      <c r="O11" s="12">
        <v>8.0</v>
      </c>
      <c r="P11" s="16" t="s">
        <v>134</v>
      </c>
      <c r="Q11" s="16" t="s">
        <v>224</v>
      </c>
    </row>
    <row r="12" ht="13.5" customHeight="1">
      <c r="A12" s="12">
        <v>160.0</v>
      </c>
      <c r="B12" s="12" t="s">
        <v>225</v>
      </c>
      <c r="C12" s="12">
        <v>2.0</v>
      </c>
      <c r="D12" s="14" t="s">
        <v>226</v>
      </c>
      <c r="E12" s="16" t="s">
        <v>227</v>
      </c>
      <c r="F12" s="12" t="s">
        <v>228</v>
      </c>
      <c r="G12" s="13" t="s">
        <v>43</v>
      </c>
      <c r="H12" s="12">
        <v>10.0</v>
      </c>
      <c r="I12" s="12">
        <v>20.0</v>
      </c>
      <c r="J12" s="12">
        <v>288.0</v>
      </c>
      <c r="K12" s="18">
        <v>54.6</v>
      </c>
      <c r="L12" s="20">
        <f t="shared" si="1"/>
        <v>5.27</v>
      </c>
      <c r="M12" s="14" t="s">
        <v>229</v>
      </c>
      <c r="N12" s="12" t="s">
        <v>223</v>
      </c>
      <c r="O12" s="12">
        <v>9.0</v>
      </c>
      <c r="P12" s="16" t="s">
        <v>134</v>
      </c>
      <c r="Q12" s="16" t="s">
        <v>230</v>
      </c>
    </row>
    <row r="13" ht="13.5" customHeight="1">
      <c r="A13" s="12">
        <v>166.0</v>
      </c>
      <c r="B13" s="12" t="s">
        <v>231</v>
      </c>
      <c r="C13" s="12">
        <v>2.0</v>
      </c>
      <c r="D13" s="14" t="s">
        <v>232</v>
      </c>
      <c r="E13" s="14" t="s">
        <v>233</v>
      </c>
      <c r="F13" s="12" t="s">
        <v>234</v>
      </c>
      <c r="G13" s="13" t="s">
        <v>43</v>
      </c>
      <c r="H13" s="12">
        <v>10.0</v>
      </c>
      <c r="I13" s="12">
        <v>20.0</v>
      </c>
      <c r="J13" s="12">
        <v>274.0</v>
      </c>
      <c r="K13" s="18">
        <v>51.2</v>
      </c>
      <c r="L13" s="20">
        <f t="shared" si="1"/>
        <v>5.35</v>
      </c>
      <c r="M13" s="14" t="s">
        <v>235</v>
      </c>
      <c r="N13" s="12" t="s">
        <v>76</v>
      </c>
      <c r="O13" s="12">
        <v>11.0</v>
      </c>
      <c r="P13" s="16" t="s">
        <v>195</v>
      </c>
      <c r="Q13" s="16" t="s">
        <v>236</v>
      </c>
    </row>
    <row r="14" ht="13.5" customHeight="1">
      <c r="A14" s="12">
        <v>176.0</v>
      </c>
      <c r="B14" s="12" t="s">
        <v>237</v>
      </c>
      <c r="C14" s="12">
        <v>3.0</v>
      </c>
      <c r="D14" s="14" t="s">
        <v>238</v>
      </c>
      <c r="E14" s="14" t="s">
        <v>239</v>
      </c>
      <c r="F14" s="12" t="s">
        <v>240</v>
      </c>
      <c r="G14" s="13" t="s">
        <v>43</v>
      </c>
      <c r="H14" s="12">
        <v>15.0</v>
      </c>
      <c r="I14" s="12">
        <v>30.0</v>
      </c>
      <c r="J14" s="12">
        <v>390.0</v>
      </c>
      <c r="K14" s="18">
        <v>74.9</v>
      </c>
      <c r="L14" s="20">
        <f t="shared" si="1"/>
        <v>5.21</v>
      </c>
      <c r="M14" s="14" t="s">
        <v>241</v>
      </c>
      <c r="N14" s="12" t="s">
        <v>76</v>
      </c>
      <c r="O14" s="12">
        <v>9.0</v>
      </c>
      <c r="P14" s="16" t="s">
        <v>242</v>
      </c>
      <c r="Q14" s="16" t="s">
        <v>243</v>
      </c>
    </row>
    <row r="15" ht="13.5" customHeight="1">
      <c r="A15" s="12">
        <v>183.0</v>
      </c>
      <c r="B15" s="12" t="s">
        <v>244</v>
      </c>
      <c r="C15" s="12">
        <v>3.0</v>
      </c>
      <c r="D15" s="14" t="s">
        <v>245</v>
      </c>
      <c r="E15" s="14" t="s">
        <v>246</v>
      </c>
      <c r="F15" s="12" t="s">
        <v>247</v>
      </c>
      <c r="G15" s="13" t="s">
        <v>43</v>
      </c>
      <c r="H15" s="12">
        <v>11.0</v>
      </c>
      <c r="I15" s="12">
        <v>22.0</v>
      </c>
      <c r="J15" s="12">
        <v>324.0</v>
      </c>
      <c r="K15" s="18">
        <v>56.5</v>
      </c>
      <c r="L15" s="20">
        <f t="shared" si="1"/>
        <v>5.73</v>
      </c>
      <c r="M15" s="14" t="s">
        <v>248</v>
      </c>
      <c r="N15" s="12" t="s">
        <v>76</v>
      </c>
      <c r="O15" s="12">
        <v>9.0</v>
      </c>
      <c r="P15" s="16" t="s">
        <v>195</v>
      </c>
      <c r="Q15" s="16" t="s">
        <v>249</v>
      </c>
    </row>
    <row r="16" ht="13.5" customHeight="1">
      <c r="A16" s="12">
        <v>205.0</v>
      </c>
      <c r="B16" s="12" t="s">
        <v>250</v>
      </c>
      <c r="C16" s="12">
        <v>3.0</v>
      </c>
      <c r="D16" s="14" t="s">
        <v>213</v>
      </c>
      <c r="E16" s="14" t="s">
        <v>251</v>
      </c>
      <c r="F16" s="12" t="s">
        <v>252</v>
      </c>
      <c r="G16" s="13" t="s">
        <v>43</v>
      </c>
      <c r="H16" s="12">
        <v>13.0</v>
      </c>
      <c r="I16" s="12">
        <v>26.0</v>
      </c>
      <c r="J16" s="12">
        <v>337.0</v>
      </c>
      <c r="K16" s="18">
        <v>60.4</v>
      </c>
      <c r="L16" s="20">
        <f t="shared" si="1"/>
        <v>5.58</v>
      </c>
      <c r="M16" s="14" t="s">
        <v>253</v>
      </c>
      <c r="N16" s="12" t="s">
        <v>223</v>
      </c>
      <c r="O16" s="12">
        <v>8.0</v>
      </c>
      <c r="P16" s="16" t="s">
        <v>134</v>
      </c>
      <c r="Q16" s="16" t="s">
        <v>254</v>
      </c>
    </row>
    <row r="17" ht="13.5" customHeight="1">
      <c r="A17" s="12">
        <v>218.0</v>
      </c>
      <c r="B17" s="12" t="s">
        <v>255</v>
      </c>
      <c r="C17" s="12">
        <v>3.0</v>
      </c>
      <c r="D17" s="14" t="s">
        <v>200</v>
      </c>
      <c r="E17" s="14" t="s">
        <v>256</v>
      </c>
      <c r="F17" s="12" t="s">
        <v>257</v>
      </c>
      <c r="G17" s="13" t="s">
        <v>43</v>
      </c>
      <c r="H17" s="12">
        <v>12.0</v>
      </c>
      <c r="I17" s="12">
        <v>24.0</v>
      </c>
      <c r="J17" s="12">
        <v>304.0</v>
      </c>
      <c r="K17" s="18">
        <v>55.9</v>
      </c>
      <c r="L17" s="20">
        <f t="shared" si="1"/>
        <v>5.44</v>
      </c>
      <c r="M17" s="14" t="s">
        <v>258</v>
      </c>
      <c r="N17" s="12" t="s">
        <v>76</v>
      </c>
      <c r="O17" s="12">
        <v>10.0</v>
      </c>
      <c r="P17" s="16" t="s">
        <v>259</v>
      </c>
      <c r="Q17" s="16" t="s">
        <v>260</v>
      </c>
    </row>
    <row r="18" ht="13.5" customHeight="1">
      <c r="A18" s="12">
        <v>221.0</v>
      </c>
      <c r="B18" s="12" t="s">
        <v>261</v>
      </c>
      <c r="C18" s="12">
        <v>3.0</v>
      </c>
      <c r="D18" s="14" t="s">
        <v>262</v>
      </c>
      <c r="E18" s="14" t="s">
        <v>263</v>
      </c>
      <c r="F18" s="12" t="s">
        <v>264</v>
      </c>
      <c r="G18" s="13" t="s">
        <v>43</v>
      </c>
      <c r="H18" s="12">
        <v>11.0</v>
      </c>
      <c r="I18" s="12">
        <v>22.0</v>
      </c>
      <c r="J18" s="12">
        <v>247.0</v>
      </c>
      <c r="K18" s="18">
        <v>48.1</v>
      </c>
      <c r="L18" s="20">
        <f t="shared" si="1"/>
        <v>5.14</v>
      </c>
      <c r="M18" s="14" t="s">
        <v>265</v>
      </c>
      <c r="N18" s="12" t="s">
        <v>76</v>
      </c>
      <c r="O18" s="12">
        <v>9.0</v>
      </c>
      <c r="P18" s="16" t="s">
        <v>195</v>
      </c>
      <c r="Q18" s="16" t="s">
        <v>266</v>
      </c>
    </row>
    <row r="19" ht="13.5" customHeight="1">
      <c r="A19" s="12">
        <v>234.0</v>
      </c>
      <c r="B19" s="12" t="s">
        <v>267</v>
      </c>
      <c r="C19" s="12">
        <v>3.0</v>
      </c>
      <c r="D19" s="14" t="s">
        <v>232</v>
      </c>
      <c r="E19" s="14" t="s">
        <v>268</v>
      </c>
      <c r="F19" s="12" t="s">
        <v>269</v>
      </c>
      <c r="G19" s="13" t="s">
        <v>43</v>
      </c>
      <c r="H19" s="12">
        <v>9.0</v>
      </c>
      <c r="I19" s="12">
        <v>18.0</v>
      </c>
      <c r="J19" s="12">
        <v>336.0</v>
      </c>
      <c r="K19" s="18">
        <v>61.7</v>
      </c>
      <c r="L19" s="20">
        <f t="shared" si="1"/>
        <v>5.45</v>
      </c>
      <c r="M19" s="14" t="s">
        <v>270</v>
      </c>
      <c r="N19" s="12" t="s">
        <v>223</v>
      </c>
      <c r="O19" s="12">
        <v>9.0</v>
      </c>
      <c r="P19" s="16" t="s">
        <v>271</v>
      </c>
      <c r="Q19" s="16" t="s">
        <v>272</v>
      </c>
    </row>
    <row r="20" ht="13.5" customHeight="1">
      <c r="A20" s="12">
        <v>263.0</v>
      </c>
      <c r="B20" s="12" t="s">
        <v>273</v>
      </c>
      <c r="C20" s="12">
        <v>4.0</v>
      </c>
      <c r="D20" s="14" t="s">
        <v>232</v>
      </c>
      <c r="E20" s="14" t="s">
        <v>274</v>
      </c>
      <c r="F20" s="12" t="s">
        <v>275</v>
      </c>
      <c r="G20" s="13" t="s">
        <v>43</v>
      </c>
      <c r="H20" s="12">
        <v>8.0</v>
      </c>
      <c r="I20" s="12">
        <v>16.0</v>
      </c>
      <c r="J20" s="12">
        <v>231.0</v>
      </c>
      <c r="K20" s="18">
        <v>42.6</v>
      </c>
      <c r="L20" s="20">
        <f t="shared" si="1"/>
        <v>5.42</v>
      </c>
      <c r="M20" s="14" t="s">
        <v>276</v>
      </c>
      <c r="N20" s="12" t="s">
        <v>76</v>
      </c>
      <c r="O20" s="12">
        <v>9.0</v>
      </c>
      <c r="P20" s="16" t="s">
        <v>195</v>
      </c>
      <c r="Q20" s="16" t="s">
        <v>277</v>
      </c>
    </row>
    <row r="21" ht="13.5" customHeight="1">
      <c r="A21" s="12">
        <v>264.0</v>
      </c>
      <c r="B21" s="12" t="s">
        <v>278</v>
      </c>
      <c r="C21" s="12">
        <v>4.0</v>
      </c>
      <c r="D21" s="14" t="s">
        <v>279</v>
      </c>
      <c r="E21" s="14" t="s">
        <v>280</v>
      </c>
      <c r="F21" s="12" t="s">
        <v>281</v>
      </c>
      <c r="G21" s="13" t="s">
        <v>43</v>
      </c>
      <c r="H21" s="12">
        <v>10.0</v>
      </c>
      <c r="I21" s="12">
        <v>20.0</v>
      </c>
      <c r="J21" s="12">
        <v>337.0</v>
      </c>
      <c r="K21" s="18">
        <v>60.7</v>
      </c>
      <c r="L21" s="20">
        <f t="shared" si="1"/>
        <v>5.55</v>
      </c>
      <c r="M21" s="14" t="s">
        <v>282</v>
      </c>
      <c r="N21" s="12" t="s">
        <v>223</v>
      </c>
      <c r="O21" s="12">
        <v>8.0</v>
      </c>
      <c r="P21" s="16" t="s">
        <v>134</v>
      </c>
      <c r="Q21" s="16" t="s">
        <v>283</v>
      </c>
    </row>
    <row r="22" ht="13.5" customHeight="1">
      <c r="A22" s="12">
        <v>281.0</v>
      </c>
      <c r="B22" s="12" t="s">
        <v>284</v>
      </c>
      <c r="C22" s="12">
        <v>4.0</v>
      </c>
      <c r="D22" s="14" t="s">
        <v>285</v>
      </c>
      <c r="E22" s="14" t="s">
        <v>286</v>
      </c>
      <c r="F22" s="12" t="s">
        <v>287</v>
      </c>
      <c r="G22" s="13" t="s">
        <v>43</v>
      </c>
      <c r="H22" s="12">
        <v>9.0</v>
      </c>
      <c r="I22" s="12">
        <v>18.0</v>
      </c>
      <c r="J22" s="12">
        <v>259.0</v>
      </c>
      <c r="K22" s="18">
        <v>51.3</v>
      </c>
      <c r="L22" s="20">
        <f t="shared" si="1"/>
        <v>5.05</v>
      </c>
      <c r="M22" s="14" t="s">
        <v>288</v>
      </c>
      <c r="N22" s="12" t="s">
        <v>76</v>
      </c>
      <c r="O22" s="12">
        <v>9.0</v>
      </c>
      <c r="P22" s="16" t="s">
        <v>195</v>
      </c>
      <c r="Q22" s="16" t="s">
        <v>289</v>
      </c>
    </row>
    <row r="23" ht="13.5" customHeight="1">
      <c r="A23" s="12">
        <v>316.0</v>
      </c>
      <c r="B23" s="12" t="s">
        <v>290</v>
      </c>
      <c r="C23" s="12">
        <v>2.0</v>
      </c>
      <c r="D23" s="14" t="s">
        <v>291</v>
      </c>
      <c r="E23" s="14" t="s">
        <v>292</v>
      </c>
      <c r="F23" s="12" t="s">
        <v>293</v>
      </c>
      <c r="G23" s="13" t="s">
        <v>43</v>
      </c>
      <c r="H23" s="12">
        <v>13.0</v>
      </c>
      <c r="I23" s="12">
        <v>26.0</v>
      </c>
      <c r="J23" s="12">
        <v>309.0</v>
      </c>
      <c r="K23" s="18">
        <v>58.4</v>
      </c>
      <c r="L23" s="20">
        <f t="shared" si="1"/>
        <v>5.29</v>
      </c>
      <c r="M23" s="14" t="s">
        <v>294</v>
      </c>
      <c r="N23" s="12" t="s">
        <v>223</v>
      </c>
      <c r="O23" s="12">
        <v>8.0</v>
      </c>
      <c r="P23" s="16" t="s">
        <v>134</v>
      </c>
      <c r="Q23" s="16" t="s">
        <v>295</v>
      </c>
    </row>
    <row r="24" ht="13.5" customHeight="1">
      <c r="A24" s="12">
        <v>353.0</v>
      </c>
      <c r="B24" s="12" t="s">
        <v>296</v>
      </c>
      <c r="C24" s="12">
        <v>4.0</v>
      </c>
      <c r="D24" s="14" t="s">
        <v>297</v>
      </c>
      <c r="E24" s="14" t="s">
        <v>298</v>
      </c>
      <c r="F24" s="12" t="s">
        <v>299</v>
      </c>
      <c r="G24" s="13" t="s">
        <v>43</v>
      </c>
      <c r="H24" s="12">
        <v>10.0</v>
      </c>
      <c r="I24" s="12">
        <v>20.0</v>
      </c>
      <c r="J24" s="12">
        <v>255.0</v>
      </c>
      <c r="K24" s="18">
        <v>46.1</v>
      </c>
      <c r="L24" s="20">
        <f t="shared" si="1"/>
        <v>5.53</v>
      </c>
      <c r="M24" s="14" t="s">
        <v>300</v>
      </c>
      <c r="N24" s="12" t="s">
        <v>223</v>
      </c>
      <c r="O24" s="12">
        <v>8.0</v>
      </c>
      <c r="P24" s="16" t="s">
        <v>134</v>
      </c>
      <c r="Q24" s="16" t="s">
        <v>301</v>
      </c>
    </row>
    <row r="25" ht="13.5" customHeight="1">
      <c r="A25" s="12">
        <v>481.0</v>
      </c>
      <c r="B25" s="12" t="s">
        <v>302</v>
      </c>
      <c r="C25" s="12">
        <v>4.0</v>
      </c>
      <c r="D25" s="14" t="s">
        <v>36</v>
      </c>
      <c r="E25" s="14" t="s">
        <v>303</v>
      </c>
      <c r="F25" s="12" t="s">
        <v>304</v>
      </c>
      <c r="G25" s="13" t="s">
        <v>43</v>
      </c>
      <c r="H25" s="12">
        <v>12.0</v>
      </c>
      <c r="I25" s="12">
        <v>24.0</v>
      </c>
      <c r="J25" s="12">
        <v>332.0</v>
      </c>
      <c r="K25" s="18">
        <v>61.1</v>
      </c>
      <c r="L25" s="20">
        <f t="shared" si="1"/>
        <v>5.43</v>
      </c>
      <c r="M25" s="14" t="s">
        <v>305</v>
      </c>
      <c r="N25" s="12" t="s">
        <v>76</v>
      </c>
      <c r="O25" s="12">
        <v>10.0</v>
      </c>
      <c r="P25" s="16" t="s">
        <v>195</v>
      </c>
      <c r="Q25" s="16" t="s">
        <v>306</v>
      </c>
    </row>
    <row r="26" ht="13.5" customHeight="1">
      <c r="A26" s="12">
        <v>503.0</v>
      </c>
      <c r="B26" s="12" t="s">
        <v>307</v>
      </c>
      <c r="C26" s="12">
        <v>2.0</v>
      </c>
      <c r="D26" s="14" t="s">
        <v>213</v>
      </c>
      <c r="E26" s="14" t="s">
        <v>308</v>
      </c>
      <c r="F26" s="12" t="s">
        <v>309</v>
      </c>
      <c r="G26" s="13" t="s">
        <v>310</v>
      </c>
      <c r="H26" s="12">
        <v>8.0</v>
      </c>
      <c r="I26" s="12">
        <v>13.0</v>
      </c>
      <c r="J26" s="12">
        <v>288.0</v>
      </c>
      <c r="K26" s="18">
        <v>50.7</v>
      </c>
      <c r="L26" s="20">
        <f t="shared" si="1"/>
        <v>5.68</v>
      </c>
      <c r="M26" s="14" t="s">
        <v>311</v>
      </c>
      <c r="N26" s="12" t="s">
        <v>223</v>
      </c>
      <c r="O26" s="12">
        <v>8.0</v>
      </c>
      <c r="P26" s="16" t="s">
        <v>87</v>
      </c>
      <c r="Q26" s="16" t="s">
        <v>312</v>
      </c>
    </row>
    <row r="27" ht="13.5" customHeight="1">
      <c r="A27" s="12">
        <v>508.0</v>
      </c>
      <c r="B27" s="12" t="s">
        <v>313</v>
      </c>
      <c r="C27" s="12">
        <v>4.0</v>
      </c>
      <c r="D27" s="14" t="s">
        <v>200</v>
      </c>
      <c r="E27" s="14" t="s">
        <v>314</v>
      </c>
      <c r="F27" s="12" t="s">
        <v>315</v>
      </c>
      <c r="G27" s="13" t="s">
        <v>316</v>
      </c>
      <c r="H27" s="12">
        <v>9.0</v>
      </c>
      <c r="I27" s="12">
        <v>15.0</v>
      </c>
      <c r="J27" s="12">
        <v>257.0</v>
      </c>
      <c r="K27" s="18">
        <v>47.0</v>
      </c>
      <c r="L27" s="20">
        <f t="shared" si="1"/>
        <v>5.47</v>
      </c>
      <c r="M27" s="14" t="s">
        <v>317</v>
      </c>
      <c r="N27" s="12" t="s">
        <v>223</v>
      </c>
      <c r="O27" s="12">
        <v>6.0</v>
      </c>
      <c r="P27" s="16" t="s">
        <v>87</v>
      </c>
      <c r="Q27" s="16" t="s">
        <v>318</v>
      </c>
    </row>
    <row r="28" ht="13.5" customHeight="1">
      <c r="A28" s="12">
        <v>520.0</v>
      </c>
      <c r="B28" s="12" t="s">
        <v>319</v>
      </c>
      <c r="C28" s="12">
        <v>2.0</v>
      </c>
      <c r="D28" s="14" t="s">
        <v>213</v>
      </c>
      <c r="E28" s="14" t="s">
        <v>320</v>
      </c>
      <c r="F28" s="12" t="s">
        <v>321</v>
      </c>
      <c r="G28" s="13" t="s">
        <v>316</v>
      </c>
      <c r="H28" s="12">
        <v>10.0</v>
      </c>
      <c r="I28" s="12">
        <v>18.0</v>
      </c>
      <c r="J28" s="12">
        <v>305.0</v>
      </c>
      <c r="K28" s="18">
        <v>55.0</v>
      </c>
      <c r="L28" s="20">
        <f t="shared" si="1"/>
        <v>5.55</v>
      </c>
      <c r="M28" s="14" t="s">
        <v>322</v>
      </c>
      <c r="N28" s="12" t="s">
        <v>223</v>
      </c>
      <c r="O28" s="12">
        <v>8.0</v>
      </c>
      <c r="P28" s="16" t="s">
        <v>155</v>
      </c>
      <c r="Q28" s="14" t="s">
        <v>323</v>
      </c>
    </row>
    <row r="29" ht="13.5" customHeight="1">
      <c r="A29" s="12">
        <v>529.0</v>
      </c>
      <c r="B29" s="12" t="s">
        <v>324</v>
      </c>
      <c r="C29" s="12">
        <v>3.0</v>
      </c>
      <c r="D29" s="14" t="s">
        <v>238</v>
      </c>
      <c r="E29" s="14" t="s">
        <v>325</v>
      </c>
      <c r="F29" s="12" t="s">
        <v>326</v>
      </c>
      <c r="G29" s="13" t="s">
        <v>316</v>
      </c>
      <c r="H29" s="12">
        <v>10.0</v>
      </c>
      <c r="I29" s="12">
        <v>19.0</v>
      </c>
      <c r="J29" s="12">
        <v>290.0</v>
      </c>
      <c r="K29" s="18">
        <v>53.6</v>
      </c>
      <c r="L29" s="20">
        <f t="shared" si="1"/>
        <v>5.41</v>
      </c>
      <c r="M29" s="14" t="s">
        <v>327</v>
      </c>
      <c r="N29" s="12" t="s">
        <v>223</v>
      </c>
      <c r="O29" s="12">
        <v>6.0</v>
      </c>
      <c r="P29" s="16"/>
      <c r="Q29" s="14" t="s">
        <v>328</v>
      </c>
    </row>
    <row r="30" ht="13.5" customHeight="1">
      <c r="A30" s="12">
        <v>530.0</v>
      </c>
      <c r="B30" s="12" t="s">
        <v>329</v>
      </c>
      <c r="C30" s="12">
        <v>3.0</v>
      </c>
      <c r="D30" s="14" t="s">
        <v>232</v>
      </c>
      <c r="E30" s="14" t="s">
        <v>330</v>
      </c>
      <c r="F30" s="12" t="s">
        <v>331</v>
      </c>
      <c r="G30" s="13" t="s">
        <v>310</v>
      </c>
      <c r="H30" s="12">
        <v>9.0</v>
      </c>
      <c r="I30" s="12">
        <v>15.0</v>
      </c>
      <c r="J30" s="12">
        <v>317.0</v>
      </c>
      <c r="K30" s="18">
        <v>53.5</v>
      </c>
      <c r="L30" s="20">
        <f t="shared" si="1"/>
        <v>5.93</v>
      </c>
      <c r="M30" s="14" t="s">
        <v>332</v>
      </c>
      <c r="N30" s="12" t="s">
        <v>223</v>
      </c>
      <c r="O30" s="12">
        <v>6.0</v>
      </c>
      <c r="P30" s="16" t="s">
        <v>87</v>
      </c>
      <c r="Q30" s="16" t="s">
        <v>333</v>
      </c>
    </row>
    <row r="31" ht="13.5" customHeight="1">
      <c r="A31" s="12">
        <v>533.0</v>
      </c>
      <c r="B31" s="12" t="s">
        <v>334</v>
      </c>
      <c r="C31" s="12">
        <v>4.0</v>
      </c>
      <c r="D31" s="14" t="s">
        <v>213</v>
      </c>
      <c r="E31" s="14" t="s">
        <v>335</v>
      </c>
      <c r="F31" s="12" t="s">
        <v>336</v>
      </c>
      <c r="G31" s="13" t="s">
        <v>337</v>
      </c>
      <c r="H31" s="12">
        <v>8.0</v>
      </c>
      <c r="I31" s="12">
        <v>15.0</v>
      </c>
      <c r="J31" s="12">
        <v>264.0</v>
      </c>
      <c r="K31" s="18">
        <v>46.9</v>
      </c>
      <c r="L31" s="20">
        <f t="shared" si="1"/>
        <v>5.63</v>
      </c>
      <c r="M31" s="14" t="s">
        <v>338</v>
      </c>
      <c r="N31" s="12" t="s">
        <v>76</v>
      </c>
      <c r="O31" s="12">
        <v>9.0</v>
      </c>
      <c r="P31" s="16" t="s">
        <v>134</v>
      </c>
      <c r="Q31" s="16" t="s">
        <v>339</v>
      </c>
    </row>
    <row r="32" ht="13.5" customHeight="1">
      <c r="A32" s="12">
        <v>568.0</v>
      </c>
      <c r="B32" s="12" t="s">
        <v>340</v>
      </c>
      <c r="C32" s="12">
        <v>1.0</v>
      </c>
      <c r="D32" s="14" t="s">
        <v>219</v>
      </c>
      <c r="E32" s="14" t="s">
        <v>341</v>
      </c>
      <c r="F32" s="12" t="s">
        <v>342</v>
      </c>
      <c r="G32" s="13" t="s">
        <v>43</v>
      </c>
      <c r="H32" s="12">
        <v>8.0</v>
      </c>
      <c r="I32" s="12">
        <v>15.0</v>
      </c>
      <c r="J32" s="12">
        <v>352.0</v>
      </c>
      <c r="K32" s="18">
        <v>63.9</v>
      </c>
      <c r="L32" s="20">
        <f t="shared" si="1"/>
        <v>5.51</v>
      </c>
      <c r="M32" s="14" t="s">
        <v>343</v>
      </c>
      <c r="N32" s="12" t="s">
        <v>223</v>
      </c>
      <c r="O32" s="12">
        <v>10.0</v>
      </c>
      <c r="P32" s="16" t="s">
        <v>344</v>
      </c>
      <c r="Q32" s="16" t="s">
        <v>345</v>
      </c>
    </row>
    <row r="33" ht="13.5" customHeight="1">
      <c r="A33" s="12">
        <v>585.0</v>
      </c>
      <c r="B33" s="12" t="s">
        <v>346</v>
      </c>
      <c r="C33" s="12">
        <v>1.0</v>
      </c>
      <c r="D33" s="14" t="s">
        <v>213</v>
      </c>
      <c r="E33" s="14" t="s">
        <v>347</v>
      </c>
      <c r="F33" s="12" t="s">
        <v>348</v>
      </c>
      <c r="G33" s="13" t="s">
        <v>43</v>
      </c>
      <c r="H33" s="12">
        <v>8.0</v>
      </c>
      <c r="I33" s="12">
        <v>16.0</v>
      </c>
      <c r="J33" s="12">
        <v>286.0</v>
      </c>
      <c r="K33" s="18">
        <v>52.1</v>
      </c>
      <c r="L33" s="20">
        <f t="shared" si="1"/>
        <v>5.49</v>
      </c>
      <c r="M33" s="14" t="s">
        <v>349</v>
      </c>
      <c r="N33" s="12" t="s">
        <v>223</v>
      </c>
      <c r="O33" s="12">
        <v>8.0</v>
      </c>
      <c r="P33" s="16" t="s">
        <v>350</v>
      </c>
      <c r="Q33" s="16" t="s">
        <v>351</v>
      </c>
    </row>
    <row r="34" ht="13.5" customHeight="1">
      <c r="A34" s="12">
        <v>625.0</v>
      </c>
      <c r="B34" s="12" t="s">
        <v>352</v>
      </c>
      <c r="C34" s="12">
        <v>5.0</v>
      </c>
      <c r="D34" s="14" t="s">
        <v>36</v>
      </c>
      <c r="E34" s="14" t="s">
        <v>353</v>
      </c>
      <c r="F34" s="12" t="s">
        <v>354</v>
      </c>
      <c r="G34" s="13" t="s">
        <v>43</v>
      </c>
      <c r="H34" s="12">
        <v>9.0</v>
      </c>
      <c r="I34" s="12">
        <v>17.0</v>
      </c>
      <c r="J34" s="12">
        <v>274.0</v>
      </c>
      <c r="K34" s="18">
        <v>48.6</v>
      </c>
      <c r="L34" s="20">
        <f t="shared" si="1"/>
        <v>5.64</v>
      </c>
      <c r="M34" s="14" t="s">
        <v>355</v>
      </c>
      <c r="N34" s="12" t="s">
        <v>76</v>
      </c>
      <c r="O34" s="12">
        <v>8.0</v>
      </c>
      <c r="P34" s="16" t="s">
        <v>356</v>
      </c>
      <c r="Q34" s="16" t="s">
        <v>357</v>
      </c>
    </row>
    <row r="35" ht="13.5" customHeight="1">
      <c r="A35" s="12">
        <v>629.0</v>
      </c>
      <c r="B35" s="12" t="s">
        <v>358</v>
      </c>
      <c r="C35" s="12">
        <v>1.0</v>
      </c>
      <c r="D35" s="14" t="s">
        <v>359</v>
      </c>
      <c r="E35" s="14" t="s">
        <v>360</v>
      </c>
      <c r="F35" s="12" t="s">
        <v>361</v>
      </c>
      <c r="G35" s="13" t="s">
        <v>43</v>
      </c>
      <c r="H35" s="12">
        <v>8.0</v>
      </c>
      <c r="I35" s="12">
        <v>15.0</v>
      </c>
      <c r="J35" s="12">
        <v>243.0</v>
      </c>
      <c r="K35" s="18">
        <v>43.9</v>
      </c>
      <c r="L35" s="20">
        <f t="shared" si="1"/>
        <v>5.54</v>
      </c>
      <c r="M35" s="14" t="s">
        <v>362</v>
      </c>
      <c r="N35" s="12" t="s">
        <v>223</v>
      </c>
      <c r="O35" s="12">
        <v>7.0</v>
      </c>
      <c r="P35" s="16" t="s">
        <v>350</v>
      </c>
      <c r="Q35" s="16" t="s">
        <v>363</v>
      </c>
    </row>
    <row r="36" ht="13.5" customHeight="1">
      <c r="A36" s="12">
        <v>679.0</v>
      </c>
      <c r="B36" s="12" t="s">
        <v>364</v>
      </c>
      <c r="C36" s="12">
        <v>1.0</v>
      </c>
      <c r="D36" s="14" t="s">
        <v>365</v>
      </c>
      <c r="E36" s="14" t="s">
        <v>366</v>
      </c>
      <c r="F36" s="12" t="s">
        <v>367</v>
      </c>
      <c r="G36" s="12" t="s">
        <v>368</v>
      </c>
      <c r="H36" s="12">
        <v>8.0</v>
      </c>
      <c r="I36" s="12">
        <v>13.0</v>
      </c>
      <c r="J36" s="12">
        <v>284.0</v>
      </c>
      <c r="K36" s="18">
        <v>49.1</v>
      </c>
      <c r="L36" s="20">
        <f t="shared" si="1"/>
        <v>5.78</v>
      </c>
      <c r="M36" s="14" t="s">
        <v>369</v>
      </c>
      <c r="N36" s="12" t="s">
        <v>223</v>
      </c>
      <c r="O36" s="12">
        <v>6.0</v>
      </c>
      <c r="P36" s="16" t="s">
        <v>87</v>
      </c>
      <c r="Q36" s="16" t="s">
        <v>370</v>
      </c>
    </row>
    <row r="37" ht="13.5" customHeight="1">
      <c r="A37" s="12">
        <v>681.0</v>
      </c>
      <c r="B37" s="12" t="s">
        <v>371</v>
      </c>
      <c r="C37" s="12">
        <v>1.0</v>
      </c>
      <c r="D37" s="14" t="s">
        <v>200</v>
      </c>
      <c r="E37" s="14" t="s">
        <v>372</v>
      </c>
      <c r="F37" s="12" t="s">
        <v>373</v>
      </c>
      <c r="G37" s="13" t="s">
        <v>310</v>
      </c>
      <c r="H37" s="12">
        <v>10.0</v>
      </c>
      <c r="I37" s="12">
        <v>19.0</v>
      </c>
      <c r="J37" s="12">
        <v>329.0</v>
      </c>
      <c r="K37" s="18">
        <v>56.6</v>
      </c>
      <c r="L37" s="20">
        <f t="shared" si="1"/>
        <v>5.81</v>
      </c>
      <c r="M37" s="14" t="s">
        <v>374</v>
      </c>
      <c r="N37" s="12" t="s">
        <v>223</v>
      </c>
      <c r="O37" s="12">
        <v>7.0</v>
      </c>
      <c r="P37" s="16"/>
      <c r="Q37" s="14" t="s">
        <v>375</v>
      </c>
    </row>
    <row r="38" ht="13.5" customHeight="1">
      <c r="A38" s="12">
        <v>683.0</v>
      </c>
      <c r="B38" s="12" t="s">
        <v>376</v>
      </c>
      <c r="C38" s="12">
        <v>1.0</v>
      </c>
      <c r="D38" s="14" t="s">
        <v>213</v>
      </c>
      <c r="E38" s="14" t="s">
        <v>377</v>
      </c>
      <c r="F38" s="12" t="s">
        <v>378</v>
      </c>
      <c r="G38" s="12" t="s">
        <v>379</v>
      </c>
      <c r="H38" s="12">
        <v>8.0</v>
      </c>
      <c r="I38" s="12">
        <v>13.0</v>
      </c>
      <c r="J38" s="12">
        <v>311.0</v>
      </c>
      <c r="K38" s="18">
        <v>54.2</v>
      </c>
      <c r="L38" s="20">
        <f t="shared" si="1"/>
        <v>5.74</v>
      </c>
      <c r="M38" s="14" t="s">
        <v>380</v>
      </c>
      <c r="N38" s="12" t="s">
        <v>223</v>
      </c>
      <c r="O38" s="12">
        <v>9.0</v>
      </c>
      <c r="P38" s="16" t="s">
        <v>112</v>
      </c>
      <c r="Q38" s="14" t="s">
        <v>381</v>
      </c>
    </row>
    <row r="39" ht="13.5" customHeight="1">
      <c r="A39" s="12">
        <v>684.0</v>
      </c>
      <c r="B39" s="12" t="s">
        <v>382</v>
      </c>
      <c r="C39" s="12">
        <v>1.0</v>
      </c>
      <c r="D39" s="14" t="s">
        <v>238</v>
      </c>
      <c r="E39" s="14" t="s">
        <v>383</v>
      </c>
      <c r="F39" s="12" t="s">
        <v>384</v>
      </c>
      <c r="G39" s="13" t="s">
        <v>310</v>
      </c>
      <c r="H39" s="12">
        <v>9.0</v>
      </c>
      <c r="I39" s="12">
        <v>17.0</v>
      </c>
      <c r="J39" s="12">
        <v>272.0</v>
      </c>
      <c r="K39" s="18">
        <v>46.8</v>
      </c>
      <c r="L39" s="20">
        <f t="shared" si="1"/>
        <v>5.81</v>
      </c>
      <c r="M39" s="14" t="s">
        <v>385</v>
      </c>
      <c r="N39" s="12" t="s">
        <v>223</v>
      </c>
      <c r="O39" s="12">
        <v>6.0</v>
      </c>
      <c r="P39" s="16"/>
      <c r="Q39" s="14" t="s">
        <v>386</v>
      </c>
    </row>
    <row r="40" ht="13.5" customHeight="1">
      <c r="A40" s="12">
        <v>686.0</v>
      </c>
      <c r="B40" s="12" t="s">
        <v>387</v>
      </c>
      <c r="C40" s="12">
        <v>1.0</v>
      </c>
      <c r="D40" s="14" t="s">
        <v>388</v>
      </c>
      <c r="E40" s="14" t="s">
        <v>389</v>
      </c>
      <c r="F40" s="12" t="s">
        <v>390</v>
      </c>
      <c r="G40" s="13" t="s">
        <v>310</v>
      </c>
      <c r="H40" s="12">
        <v>10.0</v>
      </c>
      <c r="I40" s="12">
        <v>18.0</v>
      </c>
      <c r="J40" s="12">
        <v>279.0</v>
      </c>
      <c r="K40" s="18">
        <v>49.3</v>
      </c>
      <c r="L40" s="20">
        <f t="shared" si="1"/>
        <v>5.66</v>
      </c>
      <c r="M40" s="14" t="s">
        <v>391</v>
      </c>
      <c r="N40" s="12" t="s">
        <v>223</v>
      </c>
      <c r="O40" s="12">
        <v>5.0</v>
      </c>
      <c r="P40" s="16"/>
      <c r="Q40" s="14" t="s">
        <v>392</v>
      </c>
    </row>
    <row r="41" ht="13.5" customHeight="1">
      <c r="A41" s="12">
        <v>687.0</v>
      </c>
      <c r="B41" s="12" t="s">
        <v>393</v>
      </c>
      <c r="C41" s="12">
        <v>1.0</v>
      </c>
      <c r="D41" s="14" t="s">
        <v>279</v>
      </c>
      <c r="E41" s="14" t="s">
        <v>394</v>
      </c>
      <c r="F41" s="12" t="s">
        <v>395</v>
      </c>
      <c r="G41" s="13" t="s">
        <v>396</v>
      </c>
      <c r="H41" s="12">
        <v>10.0</v>
      </c>
      <c r="I41" s="12">
        <v>18.0</v>
      </c>
      <c r="J41" s="12">
        <v>302.0</v>
      </c>
      <c r="K41" s="18">
        <v>50.9</v>
      </c>
      <c r="L41" s="20">
        <f t="shared" si="1"/>
        <v>5.93</v>
      </c>
      <c r="M41" s="14" t="s">
        <v>397</v>
      </c>
      <c r="N41" s="12" t="s">
        <v>223</v>
      </c>
      <c r="O41" s="12">
        <v>4.0</v>
      </c>
      <c r="P41" s="16"/>
      <c r="Q41" s="14" t="s">
        <v>398</v>
      </c>
    </row>
    <row r="42" ht="13.5" customHeight="1">
      <c r="A42" s="12">
        <v>693.0</v>
      </c>
      <c r="B42" s="12" t="s">
        <v>399</v>
      </c>
      <c r="C42" s="12">
        <v>1.0</v>
      </c>
      <c r="D42" s="14" t="s">
        <v>365</v>
      </c>
      <c r="E42" s="14" t="s">
        <v>400</v>
      </c>
      <c r="F42" s="12" t="s">
        <v>401</v>
      </c>
      <c r="G42" s="13" t="s">
        <v>402</v>
      </c>
      <c r="H42" s="12">
        <v>9.0</v>
      </c>
      <c r="I42" s="12">
        <v>15.0</v>
      </c>
      <c r="J42" s="12">
        <v>260.0</v>
      </c>
      <c r="K42" s="18">
        <v>46.2</v>
      </c>
      <c r="L42" s="20">
        <f t="shared" si="1"/>
        <v>5.63</v>
      </c>
      <c r="M42" s="14" t="s">
        <v>403</v>
      </c>
      <c r="N42" s="12" t="s">
        <v>76</v>
      </c>
      <c r="O42" s="12">
        <v>5.0</v>
      </c>
      <c r="P42" s="16"/>
      <c r="Q42" s="14" t="s">
        <v>404</v>
      </c>
    </row>
    <row r="43" ht="13.5" customHeight="1">
      <c r="A43" s="12">
        <v>698.0</v>
      </c>
      <c r="B43" s="12" t="s">
        <v>405</v>
      </c>
      <c r="C43" s="12">
        <v>5.0</v>
      </c>
      <c r="D43" s="14" t="s">
        <v>406</v>
      </c>
      <c r="E43" s="14" t="s">
        <v>407</v>
      </c>
      <c r="F43" s="12" t="s">
        <v>408</v>
      </c>
      <c r="G43" s="13" t="s">
        <v>316</v>
      </c>
      <c r="H43" s="12">
        <v>8.0</v>
      </c>
      <c r="I43" s="12">
        <v>14.0</v>
      </c>
      <c r="J43" s="12">
        <v>232.0</v>
      </c>
      <c r="K43" s="18">
        <v>41.4</v>
      </c>
      <c r="L43" s="20">
        <f t="shared" si="1"/>
        <v>5.6</v>
      </c>
      <c r="M43" s="14" t="s">
        <v>409</v>
      </c>
      <c r="N43" s="12" t="s">
        <v>223</v>
      </c>
      <c r="O43" s="12">
        <v>6.0</v>
      </c>
      <c r="P43" s="16"/>
      <c r="Q43" s="14" t="s">
        <v>410</v>
      </c>
    </row>
    <row r="44" ht="13.5" customHeight="1">
      <c r="A44" s="12">
        <v>699.0</v>
      </c>
      <c r="B44" s="12" t="s">
        <v>411</v>
      </c>
      <c r="C44" s="12">
        <v>5.0</v>
      </c>
      <c r="D44" s="14" t="s">
        <v>297</v>
      </c>
      <c r="E44" s="14" t="s">
        <v>412</v>
      </c>
      <c r="F44" s="12" t="s">
        <v>413</v>
      </c>
      <c r="G44" s="13" t="s">
        <v>316</v>
      </c>
      <c r="H44" s="12">
        <v>8.0</v>
      </c>
      <c r="I44" s="12">
        <v>13.0</v>
      </c>
      <c r="J44" s="12">
        <v>179.0</v>
      </c>
      <c r="K44" s="18">
        <v>31.3</v>
      </c>
      <c r="L44" s="20">
        <f t="shared" si="1"/>
        <v>5.72</v>
      </c>
      <c r="M44" s="14" t="s">
        <v>414</v>
      </c>
      <c r="N44" s="12" t="s">
        <v>223</v>
      </c>
      <c r="O44" s="12">
        <v>6.0</v>
      </c>
      <c r="P44" s="16"/>
      <c r="Q44" s="14" t="s">
        <v>415</v>
      </c>
    </row>
    <row r="45" ht="13.5" customHeight="1">
      <c r="A45" s="12">
        <v>700.0</v>
      </c>
      <c r="B45" s="12" t="s">
        <v>416</v>
      </c>
      <c r="C45" s="12">
        <v>5.0</v>
      </c>
      <c r="D45" s="14" t="s">
        <v>297</v>
      </c>
      <c r="E45" s="14" t="s">
        <v>417</v>
      </c>
      <c r="F45" s="12" t="s">
        <v>418</v>
      </c>
      <c r="G45" s="13" t="s">
        <v>316</v>
      </c>
      <c r="H45" s="12">
        <v>8.0</v>
      </c>
      <c r="I45" s="12">
        <v>13.0</v>
      </c>
      <c r="J45" s="12">
        <v>180.0</v>
      </c>
      <c r="K45" s="18">
        <v>33.6</v>
      </c>
      <c r="L45" s="20">
        <f t="shared" si="1"/>
        <v>5.36</v>
      </c>
      <c r="M45" s="14" t="s">
        <v>419</v>
      </c>
      <c r="N45" s="12" t="s">
        <v>223</v>
      </c>
      <c r="O45" s="12">
        <v>6.0</v>
      </c>
      <c r="P45" s="16"/>
      <c r="Q45" s="14" t="s">
        <v>420</v>
      </c>
    </row>
    <row r="46" ht="13.5" customHeight="1">
      <c r="A46" s="12">
        <v>703.0</v>
      </c>
      <c r="B46" s="12" t="s">
        <v>421</v>
      </c>
      <c r="C46" s="12">
        <v>5.0</v>
      </c>
      <c r="D46" s="14" t="s">
        <v>232</v>
      </c>
      <c r="E46" s="14" t="s">
        <v>422</v>
      </c>
      <c r="F46" s="12" t="s">
        <v>423</v>
      </c>
      <c r="G46" s="13" t="s">
        <v>316</v>
      </c>
      <c r="H46" s="12">
        <v>8.0</v>
      </c>
      <c r="I46" s="12">
        <v>13.0</v>
      </c>
      <c r="J46" s="12">
        <v>177.0</v>
      </c>
      <c r="K46" s="18">
        <v>31.3</v>
      </c>
      <c r="L46" s="20">
        <f t="shared" si="1"/>
        <v>5.65</v>
      </c>
      <c r="M46" s="14" t="s">
        <v>424</v>
      </c>
      <c r="N46" s="12" t="s">
        <v>76</v>
      </c>
      <c r="O46" s="12">
        <v>7.0</v>
      </c>
      <c r="P46" s="16"/>
      <c r="Q46" s="14" t="s">
        <v>425</v>
      </c>
    </row>
    <row r="47" ht="13.5" customHeight="1">
      <c r="A47" s="12">
        <v>704.0</v>
      </c>
      <c r="B47" s="12" t="s">
        <v>426</v>
      </c>
      <c r="C47" s="12">
        <v>5.0</v>
      </c>
      <c r="D47" s="14" t="s">
        <v>232</v>
      </c>
      <c r="E47" s="14" t="s">
        <v>427</v>
      </c>
      <c r="F47" s="12" t="s">
        <v>428</v>
      </c>
      <c r="G47" s="13" t="s">
        <v>316</v>
      </c>
      <c r="H47" s="12">
        <v>8.0</v>
      </c>
      <c r="I47" s="12">
        <v>13.0</v>
      </c>
      <c r="J47" s="12">
        <v>186.0</v>
      </c>
      <c r="K47" s="18">
        <v>34.2</v>
      </c>
      <c r="L47" s="20">
        <f t="shared" si="1"/>
        <v>5.44</v>
      </c>
      <c r="M47" s="14" t="s">
        <v>429</v>
      </c>
      <c r="N47" s="12" t="s">
        <v>76</v>
      </c>
      <c r="O47" s="12">
        <v>7.0</v>
      </c>
      <c r="P47" s="16"/>
      <c r="Q47" s="14" t="s">
        <v>430</v>
      </c>
    </row>
    <row r="48" ht="13.5" customHeight="1">
      <c r="A48" s="12">
        <v>707.0</v>
      </c>
      <c r="B48" s="12" t="s">
        <v>431</v>
      </c>
      <c r="C48" s="12">
        <v>5.0</v>
      </c>
      <c r="D48" s="14" t="s">
        <v>232</v>
      </c>
      <c r="E48" s="14" t="s">
        <v>432</v>
      </c>
      <c r="F48" s="12" t="s">
        <v>433</v>
      </c>
      <c r="G48" s="13" t="s">
        <v>316</v>
      </c>
      <c r="H48" s="12">
        <v>9.0</v>
      </c>
      <c r="I48" s="12">
        <v>16.0</v>
      </c>
      <c r="J48" s="12">
        <v>251.0</v>
      </c>
      <c r="K48" s="18">
        <v>44.4</v>
      </c>
      <c r="L48" s="20">
        <f t="shared" si="1"/>
        <v>5.65</v>
      </c>
      <c r="M48" s="14" t="s">
        <v>434</v>
      </c>
      <c r="N48" s="12" t="s">
        <v>76</v>
      </c>
      <c r="O48" s="12">
        <v>6.0</v>
      </c>
      <c r="P48" s="16"/>
      <c r="Q48" s="14" t="s">
        <v>435</v>
      </c>
    </row>
    <row r="49" ht="13.5" customHeight="1">
      <c r="A49" s="12">
        <v>708.0</v>
      </c>
      <c r="B49" s="12" t="s">
        <v>436</v>
      </c>
      <c r="C49" s="12">
        <v>5.0</v>
      </c>
      <c r="D49" s="14" t="s">
        <v>437</v>
      </c>
      <c r="E49" s="14" t="s">
        <v>438</v>
      </c>
      <c r="F49" s="12" t="s">
        <v>439</v>
      </c>
      <c r="G49" s="13" t="s">
        <v>316</v>
      </c>
      <c r="H49" s="12">
        <v>8.0</v>
      </c>
      <c r="I49" s="12">
        <v>14.0</v>
      </c>
      <c r="J49" s="12">
        <v>197.0</v>
      </c>
      <c r="K49" s="18">
        <v>34.7</v>
      </c>
      <c r="L49" s="20">
        <f t="shared" si="1"/>
        <v>5.68</v>
      </c>
      <c r="M49" s="14" t="s">
        <v>440</v>
      </c>
      <c r="N49" s="12" t="s">
        <v>223</v>
      </c>
      <c r="O49" s="12">
        <v>5.0</v>
      </c>
      <c r="P49" s="16"/>
      <c r="Q49" s="14" t="s">
        <v>441</v>
      </c>
    </row>
    <row r="50" ht="13.5" customHeight="1">
      <c r="A50" s="12">
        <v>709.0</v>
      </c>
      <c r="B50" s="12" t="s">
        <v>442</v>
      </c>
      <c r="C50" s="12">
        <v>5.0</v>
      </c>
      <c r="D50" s="14" t="s">
        <v>443</v>
      </c>
      <c r="E50" s="14" t="s">
        <v>444</v>
      </c>
      <c r="F50" s="12" t="s">
        <v>445</v>
      </c>
      <c r="G50" s="13" t="s">
        <v>316</v>
      </c>
      <c r="H50" s="12">
        <v>8.0</v>
      </c>
      <c r="I50" s="12">
        <v>14.0</v>
      </c>
      <c r="J50" s="12">
        <v>192.0</v>
      </c>
      <c r="K50" s="18">
        <v>34.0</v>
      </c>
      <c r="L50" s="20">
        <f t="shared" si="1"/>
        <v>5.65</v>
      </c>
      <c r="M50" s="14" t="s">
        <v>446</v>
      </c>
      <c r="N50" s="12" t="s">
        <v>223</v>
      </c>
      <c r="O50" s="12">
        <v>5.0</v>
      </c>
      <c r="P50" s="16"/>
      <c r="Q50" s="14" t="s">
        <v>447</v>
      </c>
    </row>
    <row r="51" ht="13.5" customHeight="1">
      <c r="A51" s="12">
        <v>717.0</v>
      </c>
      <c r="B51" s="12" t="s">
        <v>448</v>
      </c>
      <c r="C51" s="12">
        <v>5.0</v>
      </c>
      <c r="D51" s="14" t="s">
        <v>163</v>
      </c>
      <c r="E51" s="14" t="s">
        <v>449</v>
      </c>
      <c r="F51" s="12" t="s">
        <v>450</v>
      </c>
      <c r="G51" s="13" t="s">
        <v>316</v>
      </c>
      <c r="H51" s="12">
        <v>8.0</v>
      </c>
      <c r="I51" s="12">
        <v>14.0</v>
      </c>
      <c r="J51" s="12">
        <v>234.0</v>
      </c>
      <c r="K51" s="18">
        <v>41.1</v>
      </c>
      <c r="L51" s="20">
        <f t="shared" si="1"/>
        <v>5.69</v>
      </c>
      <c r="M51" s="14" t="s">
        <v>451</v>
      </c>
      <c r="N51" s="12" t="s">
        <v>223</v>
      </c>
      <c r="O51" s="12">
        <v>6.0</v>
      </c>
      <c r="P51" s="16"/>
      <c r="Q51" s="14" t="s">
        <v>452</v>
      </c>
    </row>
    <row r="52" ht="13.5" customHeight="1"/>
    <row r="53" ht="13.5" customHeight="1">
      <c r="A53" s="21" t="s">
        <v>453</v>
      </c>
    </row>
    <row r="54" ht="13.5" customHeight="1">
      <c r="A54" s="21" t="s">
        <v>454</v>
      </c>
    </row>
    <row r="55" ht="13.5" customHeight="1">
      <c r="A55" s="21" t="s">
        <v>455</v>
      </c>
    </row>
    <row r="56" ht="13.5" customHeight="1">
      <c r="A56" s="21" t="s">
        <v>456</v>
      </c>
    </row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Q$5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24.0"/>
    <col customWidth="1" min="4" max="4" width="30.0"/>
    <col customWidth="1" min="5" max="5" width="55.0"/>
    <col customWidth="1" min="6" max="6" width="10.0"/>
    <col customWidth="1" min="7" max="7" width="45.0"/>
    <col customWidth="1" min="8" max="26" width="8.71"/>
  </cols>
  <sheetData>
    <row r="1" ht="31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3" t="s">
        <v>7</v>
      </c>
      <c r="G1" s="1" t="s">
        <v>10</v>
      </c>
    </row>
    <row r="2" ht="13.5" customHeight="1">
      <c r="A2" s="6">
        <v>1.0</v>
      </c>
      <c r="B2" s="8" t="s">
        <v>17</v>
      </c>
      <c r="C2" s="9" t="s">
        <v>22</v>
      </c>
      <c r="D2" s="10" t="s">
        <v>25</v>
      </c>
      <c r="E2" s="9"/>
      <c r="F2" s="6"/>
      <c r="G2" s="10" t="s">
        <v>29</v>
      </c>
    </row>
    <row r="3" ht="13.5" customHeight="1">
      <c r="A3" s="12">
        <v>2.0</v>
      </c>
      <c r="B3" s="13" t="s">
        <v>17</v>
      </c>
      <c r="C3" s="14" t="s">
        <v>37</v>
      </c>
      <c r="D3" s="14" t="s">
        <v>38</v>
      </c>
      <c r="E3" s="16"/>
      <c r="F3" s="12"/>
      <c r="G3" s="16" t="s">
        <v>41</v>
      </c>
    </row>
    <row r="4" ht="13.5" customHeight="1">
      <c r="A4" s="6">
        <v>3.0</v>
      </c>
      <c r="B4" s="8" t="s">
        <v>44</v>
      </c>
      <c r="C4" s="10" t="s">
        <v>45</v>
      </c>
      <c r="D4" s="10" t="s">
        <v>46</v>
      </c>
      <c r="E4" s="10" t="s">
        <v>47</v>
      </c>
      <c r="F4" s="6">
        <v>499.0</v>
      </c>
      <c r="G4" s="10" t="s">
        <v>49</v>
      </c>
    </row>
    <row r="5" ht="13.5" customHeight="1">
      <c r="A5" s="12">
        <v>4.0</v>
      </c>
      <c r="B5" s="13" t="s">
        <v>44</v>
      </c>
      <c r="C5" s="16" t="s">
        <v>52</v>
      </c>
      <c r="D5" s="14" t="s">
        <v>54</v>
      </c>
      <c r="E5" s="14" t="s">
        <v>56</v>
      </c>
      <c r="F5" s="12">
        <v>6.0</v>
      </c>
      <c r="G5" s="16" t="s">
        <v>58</v>
      </c>
    </row>
    <row r="6" ht="13.5" customHeight="1">
      <c r="A6" s="12">
        <v>5.0</v>
      </c>
      <c r="B6" s="13" t="s">
        <v>44</v>
      </c>
      <c r="C6" s="14" t="s">
        <v>60</v>
      </c>
      <c r="D6" s="14" t="s">
        <v>61</v>
      </c>
      <c r="E6" s="14" t="s">
        <v>63</v>
      </c>
      <c r="F6" s="12">
        <v>46.0</v>
      </c>
      <c r="G6" s="16" t="s">
        <v>65</v>
      </c>
    </row>
    <row r="7" ht="13.5" customHeight="1">
      <c r="A7" s="12">
        <v>6.0</v>
      </c>
      <c r="B7" s="13" t="s">
        <v>44</v>
      </c>
      <c r="C7" s="16" t="s">
        <v>66</v>
      </c>
      <c r="D7" s="14" t="s">
        <v>67</v>
      </c>
      <c r="E7" s="16" t="s">
        <v>68</v>
      </c>
      <c r="F7" s="12">
        <v>10.0</v>
      </c>
      <c r="G7" s="16" t="s">
        <v>69</v>
      </c>
    </row>
    <row r="8" ht="13.5" customHeight="1">
      <c r="A8" s="12">
        <v>7.0</v>
      </c>
      <c r="B8" s="13" t="s">
        <v>44</v>
      </c>
      <c r="C8" s="16" t="s">
        <v>70</v>
      </c>
      <c r="D8" s="14" t="s">
        <v>71</v>
      </c>
      <c r="E8" s="16" t="s">
        <v>72</v>
      </c>
      <c r="F8" s="12">
        <v>5.0</v>
      </c>
      <c r="G8" s="14" t="s">
        <v>73</v>
      </c>
    </row>
    <row r="9" ht="13.5" customHeight="1">
      <c r="A9" s="12">
        <v>8.0</v>
      </c>
      <c r="B9" s="13" t="s">
        <v>44</v>
      </c>
      <c r="C9" s="14" t="s">
        <v>74</v>
      </c>
      <c r="D9" s="14" t="s">
        <v>77</v>
      </c>
      <c r="E9" s="16" t="s">
        <v>78</v>
      </c>
      <c r="F9" s="12">
        <v>3.0</v>
      </c>
      <c r="G9" s="16"/>
    </row>
    <row r="10" ht="13.5" customHeight="1">
      <c r="A10" s="6">
        <v>9.0</v>
      </c>
      <c r="B10" s="8" t="s">
        <v>80</v>
      </c>
      <c r="C10" s="10" t="s">
        <v>81</v>
      </c>
      <c r="D10" s="9" t="s">
        <v>82</v>
      </c>
      <c r="E10" s="10" t="s">
        <v>83</v>
      </c>
      <c r="F10" s="6">
        <v>50.0</v>
      </c>
      <c r="G10" s="9" t="s">
        <v>84</v>
      </c>
    </row>
    <row r="11" ht="13.5" customHeight="1">
      <c r="A11" s="6">
        <v>10.0</v>
      </c>
      <c r="B11" s="8" t="s">
        <v>86</v>
      </c>
      <c r="C11" s="9" t="s">
        <v>87</v>
      </c>
      <c r="D11" s="10" t="s">
        <v>88</v>
      </c>
      <c r="E11" s="10" t="s">
        <v>89</v>
      </c>
      <c r="F11" s="6">
        <v>33.0</v>
      </c>
      <c r="G11" s="10" t="s">
        <v>91</v>
      </c>
    </row>
    <row r="12" ht="13.5" customHeight="1">
      <c r="A12" s="12">
        <v>11.0</v>
      </c>
      <c r="B12" s="13" t="s">
        <v>86</v>
      </c>
      <c r="C12" s="14" t="s">
        <v>92</v>
      </c>
      <c r="D12" s="14" t="s">
        <v>94</v>
      </c>
      <c r="E12" s="14" t="s">
        <v>96</v>
      </c>
      <c r="F12" s="12">
        <v>65.0</v>
      </c>
      <c r="G12" s="16" t="s">
        <v>98</v>
      </c>
    </row>
    <row r="13" ht="13.5" customHeight="1">
      <c r="A13" s="12">
        <v>12.0</v>
      </c>
      <c r="B13" s="13" t="s">
        <v>86</v>
      </c>
      <c r="C13" s="16" t="s">
        <v>99</v>
      </c>
      <c r="D13" s="14" t="s">
        <v>100</v>
      </c>
      <c r="E13" s="14" t="s">
        <v>101</v>
      </c>
      <c r="F13" s="12">
        <v>47.0</v>
      </c>
      <c r="G13" s="16"/>
    </row>
    <row r="14" ht="13.5" customHeight="1">
      <c r="A14" s="12">
        <v>13.0</v>
      </c>
      <c r="B14" s="13" t="s">
        <v>86</v>
      </c>
      <c r="C14" s="16" t="s">
        <v>102</v>
      </c>
      <c r="D14" s="14" t="s">
        <v>103</v>
      </c>
      <c r="E14" s="14" t="s">
        <v>104</v>
      </c>
      <c r="F14" s="12">
        <v>42.0</v>
      </c>
      <c r="G14" s="16" t="s">
        <v>105</v>
      </c>
    </row>
    <row r="15" ht="13.5" customHeight="1">
      <c r="A15" s="12">
        <v>14.0</v>
      </c>
      <c r="B15" s="13" t="s">
        <v>86</v>
      </c>
      <c r="C15" s="16" t="s">
        <v>107</v>
      </c>
      <c r="D15" s="14" t="s">
        <v>108</v>
      </c>
      <c r="E15" s="16" t="s">
        <v>109</v>
      </c>
      <c r="F15" s="12">
        <v>1.0</v>
      </c>
      <c r="G15" s="14" t="s">
        <v>111</v>
      </c>
    </row>
    <row r="16" ht="13.5" customHeight="1">
      <c r="A16" s="12">
        <v>15.0</v>
      </c>
      <c r="B16" s="13" t="s">
        <v>86</v>
      </c>
      <c r="C16" s="16" t="s">
        <v>112</v>
      </c>
      <c r="D16" s="14" t="s">
        <v>113</v>
      </c>
      <c r="E16" s="14" t="s">
        <v>114</v>
      </c>
      <c r="F16" s="12">
        <v>1.0</v>
      </c>
      <c r="G16" s="16"/>
    </row>
    <row r="17" ht="13.5" customHeight="1">
      <c r="A17" s="12">
        <v>16.0</v>
      </c>
      <c r="B17" s="13" t="s">
        <v>86</v>
      </c>
      <c r="C17" s="16" t="s">
        <v>116</v>
      </c>
      <c r="D17" s="14" t="s">
        <v>117</v>
      </c>
      <c r="E17" s="14" t="s">
        <v>118</v>
      </c>
      <c r="F17" s="12">
        <v>1.0</v>
      </c>
      <c r="G17" s="16" t="s">
        <v>120</v>
      </c>
    </row>
    <row r="18" ht="13.5" customHeight="1">
      <c r="A18" s="12">
        <v>17.0</v>
      </c>
      <c r="B18" s="13" t="s">
        <v>86</v>
      </c>
      <c r="C18" s="14" t="s">
        <v>121</v>
      </c>
      <c r="D18" s="14" t="s">
        <v>122</v>
      </c>
      <c r="E18" s="14" t="s">
        <v>124</v>
      </c>
      <c r="F18" s="12">
        <v>3.0</v>
      </c>
      <c r="G18" s="16"/>
    </row>
    <row r="19" ht="13.5" customHeight="1">
      <c r="A19" s="6">
        <v>18.0</v>
      </c>
      <c r="B19" s="8" t="s">
        <v>126</v>
      </c>
      <c r="C19" s="9" t="s">
        <v>127</v>
      </c>
      <c r="D19" s="10" t="s">
        <v>128</v>
      </c>
      <c r="E19" s="9" t="s">
        <v>129</v>
      </c>
      <c r="F19" s="6">
        <v>24.0</v>
      </c>
      <c r="G19" s="10" t="s">
        <v>130</v>
      </c>
    </row>
    <row r="20" ht="13.5" customHeight="1">
      <c r="A20" s="12">
        <v>19.0</v>
      </c>
      <c r="B20" s="13" t="s">
        <v>126</v>
      </c>
      <c r="C20" s="16" t="s">
        <v>132</v>
      </c>
      <c r="D20" s="14" t="s">
        <v>133</v>
      </c>
      <c r="E20" s="16" t="s">
        <v>135</v>
      </c>
      <c r="F20" s="12">
        <v>5.0</v>
      </c>
      <c r="G20" s="16"/>
    </row>
    <row r="21" ht="13.5" customHeight="1">
      <c r="A21" s="12">
        <v>20.0</v>
      </c>
      <c r="B21" s="13" t="s">
        <v>126</v>
      </c>
      <c r="C21" s="16" t="s">
        <v>136</v>
      </c>
      <c r="D21" s="14" t="s">
        <v>137</v>
      </c>
      <c r="E21" s="16" t="s">
        <v>139</v>
      </c>
      <c r="F21" s="12">
        <v>15.0</v>
      </c>
      <c r="G21" s="16"/>
    </row>
    <row r="22" ht="13.5" customHeight="1">
      <c r="A22" s="12">
        <v>21.0</v>
      </c>
      <c r="B22" s="13" t="s">
        <v>126</v>
      </c>
      <c r="C22" s="16" t="s">
        <v>141</v>
      </c>
      <c r="D22" s="14" t="s">
        <v>142</v>
      </c>
      <c r="E22" s="16" t="s">
        <v>144</v>
      </c>
      <c r="F22" s="12">
        <v>5.0</v>
      </c>
      <c r="G22" s="16"/>
    </row>
    <row r="23" ht="13.5" customHeight="1">
      <c r="A23" s="12">
        <v>22.0</v>
      </c>
      <c r="B23" s="13" t="s">
        <v>126</v>
      </c>
      <c r="C23" s="16" t="s">
        <v>147</v>
      </c>
      <c r="D23" s="14" t="s">
        <v>148</v>
      </c>
      <c r="E23" s="16" t="s">
        <v>149</v>
      </c>
      <c r="F23" s="12">
        <v>2.0</v>
      </c>
      <c r="G23" s="16"/>
    </row>
    <row r="24" ht="13.5" customHeight="1">
      <c r="A24" s="12">
        <v>23.0</v>
      </c>
      <c r="B24" s="13" t="s">
        <v>126</v>
      </c>
      <c r="C24" s="16" t="s">
        <v>150</v>
      </c>
      <c r="D24" s="14" t="s">
        <v>151</v>
      </c>
      <c r="E24" s="16" t="s">
        <v>153</v>
      </c>
      <c r="F24" s="12">
        <v>1.0</v>
      </c>
      <c r="G24" s="16"/>
    </row>
    <row r="25" ht="13.5" customHeight="1">
      <c r="A25" s="12">
        <v>24.0</v>
      </c>
      <c r="B25" s="13" t="s">
        <v>126</v>
      </c>
      <c r="C25" s="16" t="s">
        <v>155</v>
      </c>
      <c r="D25" s="14" t="s">
        <v>156</v>
      </c>
      <c r="E25" s="16" t="s">
        <v>157</v>
      </c>
      <c r="F25" s="12">
        <v>1.0</v>
      </c>
      <c r="G25" s="16"/>
    </row>
    <row r="26" ht="13.5" customHeight="1">
      <c r="A26" s="6">
        <v>25.0</v>
      </c>
      <c r="B26" s="8" t="s">
        <v>159</v>
      </c>
      <c r="C26" s="9" t="s">
        <v>160</v>
      </c>
      <c r="D26" s="10" t="s">
        <v>162</v>
      </c>
      <c r="E26" s="9" t="s">
        <v>164</v>
      </c>
      <c r="F26" s="6">
        <v>2.0</v>
      </c>
      <c r="G26" s="9"/>
    </row>
    <row r="27" ht="13.5" customHeight="1">
      <c r="A27" s="12">
        <v>26.0</v>
      </c>
      <c r="B27" s="13" t="s">
        <v>159</v>
      </c>
      <c r="C27" s="16" t="s">
        <v>167</v>
      </c>
      <c r="D27" s="14" t="s">
        <v>168</v>
      </c>
      <c r="E27" s="14" t="s">
        <v>169</v>
      </c>
      <c r="F27" s="12">
        <v>1.0</v>
      </c>
      <c r="G27" s="14" t="s">
        <v>171</v>
      </c>
    </row>
    <row r="28" ht="13.5" customHeight="1">
      <c r="A28" s="12">
        <v>27.0</v>
      </c>
      <c r="B28" s="13" t="s">
        <v>159</v>
      </c>
      <c r="C28" s="16" t="s">
        <v>172</v>
      </c>
      <c r="D28" s="14" t="s">
        <v>174</v>
      </c>
      <c r="E28" s="14" t="s">
        <v>175</v>
      </c>
      <c r="F28" s="12">
        <v>1.0</v>
      </c>
      <c r="G28" s="16"/>
    </row>
    <row r="29" ht="13.5" customHeight="1">
      <c r="A29" s="12">
        <v>28.0</v>
      </c>
      <c r="B29" s="13" t="s">
        <v>159</v>
      </c>
      <c r="C29" s="16" t="s">
        <v>176</v>
      </c>
      <c r="D29" s="14" t="s">
        <v>177</v>
      </c>
      <c r="E29" s="16" t="s">
        <v>178</v>
      </c>
      <c r="F29" s="12">
        <v>1.0</v>
      </c>
      <c r="G29" s="16"/>
    </row>
    <row r="30" ht="13.5" customHeight="1">
      <c r="A30" s="6">
        <v>29.0</v>
      </c>
      <c r="B30" s="8" t="s">
        <v>180</v>
      </c>
      <c r="C30" s="10" t="s">
        <v>181</v>
      </c>
      <c r="D30" s="10" t="s">
        <v>182</v>
      </c>
      <c r="E30" s="10" t="s">
        <v>184</v>
      </c>
      <c r="F30" s="6">
        <v>2.0</v>
      </c>
      <c r="G30" s="9"/>
    </row>
    <row r="31" ht="13.5" customHeight="1">
      <c r="A31" s="12">
        <v>30.0</v>
      </c>
      <c r="B31" s="13" t="s">
        <v>180</v>
      </c>
      <c r="C31" s="14" t="s">
        <v>187</v>
      </c>
      <c r="D31" s="14" t="s">
        <v>188</v>
      </c>
      <c r="E31" s="16" t="s">
        <v>189</v>
      </c>
      <c r="F31" s="12">
        <v>11.0</v>
      </c>
      <c r="G31" s="16"/>
    </row>
    <row r="32" ht="13.5" customHeight="1">
      <c r="A32" s="12">
        <v>31.0</v>
      </c>
      <c r="B32" s="13" t="s">
        <v>180</v>
      </c>
      <c r="C32" s="14" t="s">
        <v>190</v>
      </c>
      <c r="D32" s="14" t="s">
        <v>191</v>
      </c>
      <c r="E32" s="14" t="s">
        <v>192</v>
      </c>
      <c r="F32" s="12">
        <v>11.0</v>
      </c>
      <c r="G32" s="16" t="s">
        <v>194</v>
      </c>
    </row>
    <row r="33" ht="13.5" customHeight="1">
      <c r="A33" s="12">
        <v>32.0</v>
      </c>
      <c r="B33" s="13" t="s">
        <v>180</v>
      </c>
      <c r="C33" s="14" t="s">
        <v>196</v>
      </c>
      <c r="D33" s="14" t="s">
        <v>188</v>
      </c>
      <c r="E33" s="14" t="s">
        <v>197</v>
      </c>
      <c r="F33" s="12">
        <v>4.0</v>
      </c>
      <c r="G33" s="16"/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G$33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2026-09-19T21:49:59.000</dcterms:created>
  <dc:creator>openpyxl</dc:creator>
</cp:coreProperties>
</file>